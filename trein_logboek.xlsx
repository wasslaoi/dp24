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nfo\Downloads\trein_logboek\"/>
    </mc:Choice>
  </mc:AlternateContent>
  <xr:revisionPtr revIDLastSave="0" documentId="13_ncr:1_{DCF0947F-CCA5-46B4-9153-12C127FE2DD8}" xr6:coauthVersionLast="47" xr6:coauthVersionMax="47" xr10:uidLastSave="{00000000-0000-0000-0000-000000000000}"/>
  <bookViews>
    <workbookView xWindow="-28898" yWindow="-98" windowWidth="28996" windowHeight="15675" activeTab="1" xr2:uid="{00000000-000D-0000-FFFF-FFFF00000000}"/>
  </bookViews>
  <sheets>
    <sheet name="Voorbeeld statistiek in Excel" sheetId="3" r:id="rId1"/>
    <sheet name="Kolombeschrijving" sheetId="2" r:id="rId2"/>
    <sheet name="Logboek" sheetId="1" r:id="rId3"/>
    <sheet name="KPI selectie" sheetId="4" r:id="rId4"/>
    <sheet name="Kolommen selecteren voor KPI" sheetId="5" r:id="rId5"/>
    <sheet name="Berekening prestatie " sheetId="6" r:id="rId6"/>
    <sheet name="Evaluatie en verklaring AI" sheetId="7" r:id="rId7"/>
  </sheets>
  <definedNames>
    <definedName name="_xlnm._FilterDatabase" localSheetId="2" hidden="1">Logboek!$A$1:$Q$1121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a="1"/>
  <c r="A1" i="7" s="1"/>
  <c r="A1" i="6" a="1"/>
  <c r="A1" i="6" s="1"/>
  <c r="A1" i="5" a="1"/>
  <c r="A1" i="5" s="1"/>
  <c r="H10" i="3"/>
  <c r="H9" i="3"/>
  <c r="H8" i="3"/>
  <c r="H7" i="3"/>
  <c r="H6" i="3"/>
  <c r="H5" i="3"/>
  <c r="H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<sst xmlns="http://schemas.openxmlformats.org/spreadsheetml/2006/main" count="6378" uniqueCount="1275">
  <si>
    <t>datum</t>
  </si>
  <si>
    <t>rit_nummer</t>
  </si>
  <si>
    <t>halte_nummer</t>
  </si>
  <si>
    <t>attractie_naam</t>
  </si>
  <si>
    <t>geplande_aankomsttijd</t>
  </si>
  <si>
    <t>actuele_aankomsttijd</t>
  </si>
  <si>
    <t>instappers</t>
  </si>
  <si>
    <t>uitstappers</t>
  </si>
  <si>
    <t>aantal_passagiers</t>
  </si>
  <si>
    <t>incident</t>
  </si>
  <si>
    <t>opmerking</t>
  </si>
  <si>
    <t>medewerker_id</t>
  </si>
  <si>
    <t>gemiddelde_waardering_rit</t>
  </si>
  <si>
    <t>technische_status_trein</t>
  </si>
  <si>
    <t>temperatuur_motor</t>
  </si>
  <si>
    <t>energieverbruik_rit</t>
  </si>
  <si>
    <t>schoonmaakstatus_wagon</t>
  </si>
  <si>
    <t>Dino Drop</t>
  </si>
  <si>
    <t>Magic Maze</t>
  </si>
  <si>
    <t>Haunted Hotel</t>
  </si>
  <si>
    <t>Race Circuit</t>
  </si>
  <si>
    <t>Zweefmolen</t>
  </si>
  <si>
    <t>Aqua Dome</t>
  </si>
  <si>
    <t>Sky Swing</t>
  </si>
  <si>
    <t>Robot Ronde</t>
  </si>
  <si>
    <t>IJssalon Bella</t>
  </si>
  <si>
    <t>Snackcorner Max</t>
  </si>
  <si>
    <t>Snoephuisje</t>
  </si>
  <si>
    <t>Frozen Treats</t>
  </si>
  <si>
    <t>09:00:00</t>
  </si>
  <si>
    <t>09:03:00</t>
  </si>
  <si>
    <t>09:06:00</t>
  </si>
  <si>
    <t>09:10:00</t>
  </si>
  <si>
    <t>09:13:00</t>
  </si>
  <si>
    <t>09:17:00</t>
  </si>
  <si>
    <t>09:20:00</t>
  </si>
  <si>
    <t>09:24:00</t>
  </si>
  <si>
    <t>09:27:00</t>
  </si>
  <si>
    <t>09:31:00</t>
  </si>
  <si>
    <t>09:34:00</t>
  </si>
  <si>
    <t>09:37:00</t>
  </si>
  <si>
    <t>09:41:00</t>
  </si>
  <si>
    <t>09:44:00</t>
  </si>
  <si>
    <t>09:48:00</t>
  </si>
  <si>
    <t>09:51:00</t>
  </si>
  <si>
    <t>09:55:00</t>
  </si>
  <si>
    <t>09:58:00</t>
  </si>
  <si>
    <t>10:02:00</t>
  </si>
  <si>
    <t>10:05:00</t>
  </si>
  <si>
    <t>10:09:00</t>
  </si>
  <si>
    <t>10:12:00</t>
  </si>
  <si>
    <t>10:15:00</t>
  </si>
  <si>
    <t>10:19:00</t>
  </si>
  <si>
    <t>10:22:00</t>
  </si>
  <si>
    <t>10:26:00</t>
  </si>
  <si>
    <t>10:29:00</t>
  </si>
  <si>
    <t>10:33:00</t>
  </si>
  <si>
    <t>10:36:00</t>
  </si>
  <si>
    <t>10:40:00</t>
  </si>
  <si>
    <t>10:43:00</t>
  </si>
  <si>
    <t>10:46:00</t>
  </si>
  <si>
    <t>10:50:00</t>
  </si>
  <si>
    <t>10:53:00</t>
  </si>
  <si>
    <t>10:57:00</t>
  </si>
  <si>
    <t>11:00:00</t>
  </si>
  <si>
    <t>11:04:00</t>
  </si>
  <si>
    <t>11:07:00</t>
  </si>
  <si>
    <t>11:11:00</t>
  </si>
  <si>
    <t>11:14:00</t>
  </si>
  <si>
    <t>11:18:00</t>
  </si>
  <si>
    <t>11:21:00</t>
  </si>
  <si>
    <t>11:24:00</t>
  </si>
  <si>
    <t>11:28:00</t>
  </si>
  <si>
    <t>11:31:00</t>
  </si>
  <si>
    <t>11:35:00</t>
  </si>
  <si>
    <t>11:38:00</t>
  </si>
  <si>
    <t>11:42:00</t>
  </si>
  <si>
    <t>11:45:00</t>
  </si>
  <si>
    <t>11:49:00</t>
  </si>
  <si>
    <t>11:52:00</t>
  </si>
  <si>
    <t>11:55:00</t>
  </si>
  <si>
    <t>11:59:00</t>
  </si>
  <si>
    <t>12:02:00</t>
  </si>
  <si>
    <t>12:06:00</t>
  </si>
  <si>
    <t>12:09:00</t>
  </si>
  <si>
    <t>12:13:00</t>
  </si>
  <si>
    <t>12:16:00</t>
  </si>
  <si>
    <t>12:20:00</t>
  </si>
  <si>
    <t>12:23:00</t>
  </si>
  <si>
    <t>12:27:00</t>
  </si>
  <si>
    <t>12:30:00</t>
  </si>
  <si>
    <t>12:33:00</t>
  </si>
  <si>
    <t>12:37:00</t>
  </si>
  <si>
    <t>12:40:00</t>
  </si>
  <si>
    <t>12:44:00</t>
  </si>
  <si>
    <t>12:47:00</t>
  </si>
  <si>
    <t>12:51:00</t>
  </si>
  <si>
    <t>12:54:00</t>
  </si>
  <si>
    <t>12:58:00</t>
  </si>
  <si>
    <t>13:01:00</t>
  </si>
  <si>
    <t>13:04:00</t>
  </si>
  <si>
    <t>13:08:00</t>
  </si>
  <si>
    <t>13:11:00</t>
  </si>
  <si>
    <t>13:15:00</t>
  </si>
  <si>
    <t>13:18:00</t>
  </si>
  <si>
    <t>13:22:00</t>
  </si>
  <si>
    <t>13:25:00</t>
  </si>
  <si>
    <t>13:29:00</t>
  </si>
  <si>
    <t>13:32:00</t>
  </si>
  <si>
    <t>13:36:00</t>
  </si>
  <si>
    <t>13:39:00</t>
  </si>
  <si>
    <t>13:42:00</t>
  </si>
  <si>
    <t>13:46:00</t>
  </si>
  <si>
    <t>13:49:00</t>
  </si>
  <si>
    <t>13:53:00</t>
  </si>
  <si>
    <t>13:56:00</t>
  </si>
  <si>
    <t>14:00:00</t>
  </si>
  <si>
    <t>14:03:00</t>
  </si>
  <si>
    <t>14:07:00</t>
  </si>
  <si>
    <t>14:10:00</t>
  </si>
  <si>
    <t>14:13:00</t>
  </si>
  <si>
    <t>14:17:00</t>
  </si>
  <si>
    <t>14:20:00</t>
  </si>
  <si>
    <t>14:24:00</t>
  </si>
  <si>
    <t>14:27:00</t>
  </si>
  <si>
    <t>14:31:00</t>
  </si>
  <si>
    <t>14:34:00</t>
  </si>
  <si>
    <t>14:38:00</t>
  </si>
  <si>
    <t>14:41:00</t>
  </si>
  <si>
    <t>14:45:00</t>
  </si>
  <si>
    <t>14:48:00</t>
  </si>
  <si>
    <t>14:51:00</t>
  </si>
  <si>
    <t>14:55:00</t>
  </si>
  <si>
    <t>14:58:00</t>
  </si>
  <si>
    <t>15:02:00</t>
  </si>
  <si>
    <t>15:05:00</t>
  </si>
  <si>
    <t>15:09:00</t>
  </si>
  <si>
    <t>15:12:00</t>
  </si>
  <si>
    <t>15:16:00</t>
  </si>
  <si>
    <t>15:19:00</t>
  </si>
  <si>
    <t>15:22:00</t>
  </si>
  <si>
    <t>15:26:00</t>
  </si>
  <si>
    <t>15:29:00</t>
  </si>
  <si>
    <t>15:33:00</t>
  </si>
  <si>
    <t>15:36:00</t>
  </si>
  <si>
    <t>15:40:00</t>
  </si>
  <si>
    <t>15:43:00</t>
  </si>
  <si>
    <t>15:47:00</t>
  </si>
  <si>
    <t>15:50:00</t>
  </si>
  <si>
    <t>15:54:00</t>
  </si>
  <si>
    <t>15:57:00</t>
  </si>
  <si>
    <t>16:00:00</t>
  </si>
  <si>
    <t>16:04:00</t>
  </si>
  <si>
    <t>16:07:00</t>
  </si>
  <si>
    <t>16:11:00</t>
  </si>
  <si>
    <t>16:14:00</t>
  </si>
  <si>
    <t>16:18:00</t>
  </si>
  <si>
    <t>16:21:00</t>
  </si>
  <si>
    <t>16:25:00</t>
  </si>
  <si>
    <t>16:28:00</t>
  </si>
  <si>
    <t>16:31:00</t>
  </si>
  <si>
    <t>16:35:00</t>
  </si>
  <si>
    <t>16:38:00</t>
  </si>
  <si>
    <t>16:42:00</t>
  </si>
  <si>
    <t>16:45:00</t>
  </si>
  <si>
    <t>16:49:00</t>
  </si>
  <si>
    <t>16:52:00</t>
  </si>
  <si>
    <t>16:56:00</t>
  </si>
  <si>
    <t>16:59:00</t>
  </si>
  <si>
    <t>17:03:00</t>
  </si>
  <si>
    <t>17:06:00</t>
  </si>
  <si>
    <t>17:09:00</t>
  </si>
  <si>
    <t>17:13:00</t>
  </si>
  <si>
    <t>17:16:00</t>
  </si>
  <si>
    <t>17:20:00</t>
  </si>
  <si>
    <t>17:23:00</t>
  </si>
  <si>
    <t>17:27:00</t>
  </si>
  <si>
    <t>17:30:00</t>
  </si>
  <si>
    <t>17:34:00</t>
  </si>
  <si>
    <t>17:37:00</t>
  </si>
  <si>
    <t>17:40:00</t>
  </si>
  <si>
    <t>17:44:00</t>
  </si>
  <si>
    <t>17:47:00</t>
  </si>
  <si>
    <t>17:51:00</t>
  </si>
  <si>
    <t>17:54:00</t>
  </si>
  <si>
    <t>17:58:00</t>
  </si>
  <si>
    <t>18:01:00</t>
  </si>
  <si>
    <t>18:05:00</t>
  </si>
  <si>
    <t>18:08:00</t>
  </si>
  <si>
    <t>09:02:54</t>
  </si>
  <si>
    <t>09:05:53</t>
  </si>
  <si>
    <t>09:10:11</t>
  </si>
  <si>
    <t>09:13:05</t>
  </si>
  <si>
    <t>09:16:27</t>
  </si>
  <si>
    <t>09:20:09</t>
  </si>
  <si>
    <t>09:24:24</t>
  </si>
  <si>
    <t>09:26:54</t>
  </si>
  <si>
    <t>09:31:38</t>
  </si>
  <si>
    <t>09:33:48</t>
  </si>
  <si>
    <t>09:36:10</t>
  </si>
  <si>
    <t>09:39:40</t>
  </si>
  <si>
    <t>09:45:13</t>
  </si>
  <si>
    <t>09:49:10</t>
  </si>
  <si>
    <t>09:51:08</t>
  </si>
  <si>
    <t>10:00:13</t>
  </si>
  <si>
    <t>10:01:35</t>
  </si>
  <si>
    <t>10:07:01</t>
  </si>
  <si>
    <t>10:10:08</t>
  </si>
  <si>
    <t>10:08:51</t>
  </si>
  <si>
    <t>10:12:07</t>
  </si>
  <si>
    <t>10:14:51</t>
  </si>
  <si>
    <t>10:18:39</t>
  </si>
  <si>
    <t>10:21:15</t>
  </si>
  <si>
    <t>10:26:04</t>
  </si>
  <si>
    <t>10:28:55</t>
  </si>
  <si>
    <t>10:33:29</t>
  </si>
  <si>
    <t>10:35:30</t>
  </si>
  <si>
    <t>10:41:01</t>
  </si>
  <si>
    <t>10:42:13</t>
  </si>
  <si>
    <t>10:47:23</t>
  </si>
  <si>
    <t>10:50:37</t>
  </si>
  <si>
    <t>10:52:50</t>
  </si>
  <si>
    <t>10:55:51</t>
  </si>
  <si>
    <t>11:09:07</t>
  </si>
  <si>
    <t>11:11:51</t>
  </si>
  <si>
    <t>11:16:00</t>
  </si>
  <si>
    <t>11:18:37</t>
  </si>
  <si>
    <t>11:17:54</t>
  </si>
  <si>
    <t>11:20:17</t>
  </si>
  <si>
    <t>11:24:57</t>
  </si>
  <si>
    <t>11:29:03</t>
  </si>
  <si>
    <t>11:31:32</t>
  </si>
  <si>
    <t>11:35:42</t>
  </si>
  <si>
    <t>11:36:50</t>
  </si>
  <si>
    <t>11:41:51</t>
  </si>
  <si>
    <t>11:45:56</t>
  </si>
  <si>
    <t>11:50:27</t>
  </si>
  <si>
    <t>11:52:01</t>
  </si>
  <si>
    <t>11:54:27</t>
  </si>
  <si>
    <t>12:01:08</t>
  </si>
  <si>
    <t>12:05:49</t>
  </si>
  <si>
    <t>12:08:49</t>
  </si>
  <si>
    <t>12:18:27</t>
  </si>
  <si>
    <t>12:21:24</t>
  </si>
  <si>
    <t>12:24:25</t>
  </si>
  <si>
    <t>12:27:24</t>
  </si>
  <si>
    <t>12:26:51</t>
  </si>
  <si>
    <t>12:29:19</t>
  </si>
  <si>
    <t>12:32:45</t>
  </si>
  <si>
    <t>12:38:10</t>
  </si>
  <si>
    <t>12:39:12</t>
  </si>
  <si>
    <t>12:42:19</t>
  </si>
  <si>
    <t>12:47:19</t>
  </si>
  <si>
    <t>12:51:50</t>
  </si>
  <si>
    <t>12:52:08</t>
  </si>
  <si>
    <t>12:56:01</t>
  </si>
  <si>
    <t>13:03:53</t>
  </si>
  <si>
    <t>13:07:59</t>
  </si>
  <si>
    <t>13:10:44</t>
  </si>
  <si>
    <t>13:14:56</t>
  </si>
  <si>
    <t>13:17:58</t>
  </si>
  <si>
    <t>13:27:18</t>
  </si>
  <si>
    <t>13:29:08</t>
  </si>
  <si>
    <t>13:34:41</t>
  </si>
  <si>
    <t>13:36:13</t>
  </si>
  <si>
    <t>13:34:58</t>
  </si>
  <si>
    <t>13:38:01</t>
  </si>
  <si>
    <t>13:43:15</t>
  </si>
  <si>
    <t>13:47:08</t>
  </si>
  <si>
    <t>13:47:15</t>
  </si>
  <si>
    <t>13:54:48</t>
  </si>
  <si>
    <t>13:55:35</t>
  </si>
  <si>
    <t>14:02:59</t>
  </si>
  <si>
    <t>14:07:14</t>
  </si>
  <si>
    <t>14:09:57</t>
  </si>
  <si>
    <t>14:13:10</t>
  </si>
  <si>
    <t>14:16:35</t>
  </si>
  <si>
    <t>14:20:07</t>
  </si>
  <si>
    <t>14:24:28</t>
  </si>
  <si>
    <t>14:27:10</t>
  </si>
  <si>
    <t>14:37:08</t>
  </si>
  <si>
    <t>14:37:50</t>
  </si>
  <si>
    <t>14:44:05</t>
  </si>
  <si>
    <t>14:47:26</t>
  </si>
  <si>
    <t>14:45:25</t>
  </si>
  <si>
    <t>14:47:42</t>
  </si>
  <si>
    <t>14:49:48</t>
  </si>
  <si>
    <t>14:53:52</t>
  </si>
  <si>
    <t>14:58:47</t>
  </si>
  <si>
    <t>15:01:59</t>
  </si>
  <si>
    <t>15:04:59</t>
  </si>
  <si>
    <t>15:08:42</t>
  </si>
  <si>
    <t>15:11:47</t>
  </si>
  <si>
    <t>15:16:29</t>
  </si>
  <si>
    <t>15:18:29</t>
  </si>
  <si>
    <t>15:55:53</t>
  </si>
  <si>
    <t>15:55:20</t>
  </si>
  <si>
    <t>16:03:56</t>
  </si>
  <si>
    <t>16:06:55</t>
  </si>
  <si>
    <t>16:11:18</t>
  </si>
  <si>
    <t>16:13:44</t>
  </si>
  <si>
    <t>16:18:11</t>
  </si>
  <si>
    <t>16:20:10</t>
  </si>
  <si>
    <t>16:25:57</t>
  </si>
  <si>
    <t>16:27:53</t>
  </si>
  <si>
    <t>16:31:09</t>
  </si>
  <si>
    <t>16:36:14</t>
  </si>
  <si>
    <t>16:38:08</t>
  </si>
  <si>
    <t>16:42:10</t>
  </si>
  <si>
    <t>16:43:22</t>
  </si>
  <si>
    <t>16:55:33</t>
  </si>
  <si>
    <t>16:55:58</t>
  </si>
  <si>
    <t>17:02:15</t>
  </si>
  <si>
    <t>17:05:10</t>
  </si>
  <si>
    <t>17:03:06</t>
  </si>
  <si>
    <t>17:06:08</t>
  </si>
  <si>
    <t>17:08:47</t>
  </si>
  <si>
    <t>17:13:18</t>
  </si>
  <si>
    <t>17:15:34</t>
  </si>
  <si>
    <t>17:20:35</t>
  </si>
  <si>
    <t>17:22:27</t>
  </si>
  <si>
    <t>17:26:35</t>
  </si>
  <si>
    <t>17:28:52</t>
  </si>
  <si>
    <t>17:33:32</t>
  </si>
  <si>
    <t>17:36:34</t>
  </si>
  <si>
    <t>17:40:34</t>
  </si>
  <si>
    <t>17:45:32</t>
  </si>
  <si>
    <t>17:45:48</t>
  </si>
  <si>
    <t>17:49:25</t>
  </si>
  <si>
    <t>17:54:59</t>
  </si>
  <si>
    <t>18:03:29</t>
  </si>
  <si>
    <t>18:06:00</t>
  </si>
  <si>
    <t>18:09:50</t>
  </si>
  <si>
    <t>18:13:00</t>
  </si>
  <si>
    <t>09:03:06</t>
  </si>
  <si>
    <t>09:05:55</t>
  </si>
  <si>
    <t>09:10:19</t>
  </si>
  <si>
    <t>09:13:10</t>
  </si>
  <si>
    <t>09:17:16</t>
  </si>
  <si>
    <t>09:19:31</t>
  </si>
  <si>
    <t>09:24:20</t>
  </si>
  <si>
    <t>09:27:08</t>
  </si>
  <si>
    <t>09:31:49</t>
  </si>
  <si>
    <t>09:33:13</t>
  </si>
  <si>
    <t>09:37:27</t>
  </si>
  <si>
    <t>09:40:49</t>
  </si>
  <si>
    <t>09:43:55</t>
  </si>
  <si>
    <t>09:48:36</t>
  </si>
  <si>
    <t>09:51:40</t>
  </si>
  <si>
    <t>09:58:13</t>
  </si>
  <si>
    <t>10:02:08</t>
  </si>
  <si>
    <t>10:06:56</t>
  </si>
  <si>
    <t>10:10:02</t>
  </si>
  <si>
    <t>10:08:57</t>
  </si>
  <si>
    <t>10:15:14</t>
  </si>
  <si>
    <t>10:18:37</t>
  </si>
  <si>
    <t>10:21:08</t>
  </si>
  <si>
    <t>10:25:25</t>
  </si>
  <si>
    <t>10:28:56</t>
  </si>
  <si>
    <t>10:34:06</t>
  </si>
  <si>
    <t>10:34:57</t>
  </si>
  <si>
    <t>10:40:05</t>
  </si>
  <si>
    <t>10:42:23</t>
  </si>
  <si>
    <t>10:47:09</t>
  </si>
  <si>
    <t>10:51:19</t>
  </si>
  <si>
    <t>10:54:41</t>
  </si>
  <si>
    <t>10:56:47</t>
  </si>
  <si>
    <t>11:09:02</t>
  </si>
  <si>
    <t>11:11:46</t>
  </si>
  <si>
    <t>11:15:48</t>
  </si>
  <si>
    <t>11:18:32</t>
  </si>
  <si>
    <t>11:17:31</t>
  </si>
  <si>
    <t>11:20:32</t>
  </si>
  <si>
    <t>11:23:41</t>
  </si>
  <si>
    <t>11:27:02</t>
  </si>
  <si>
    <t>11:32:00</t>
  </si>
  <si>
    <t>11:34:40</t>
  </si>
  <si>
    <t>12:27:23</t>
  </si>
  <si>
    <t>12:29:47</t>
  </si>
  <si>
    <t>12:34:06</t>
  </si>
  <si>
    <t>12:35:36</t>
  </si>
  <si>
    <t>12:40:12</t>
  </si>
  <si>
    <t>12:44:30</t>
  </si>
  <si>
    <t>12:45:49</t>
  </si>
  <si>
    <t>12:50:18</t>
  </si>
  <si>
    <t>12:53:18</t>
  </si>
  <si>
    <t>12:59:10</t>
  </si>
  <si>
    <t>13:01:01</t>
  </si>
  <si>
    <t>13:04:04</t>
  </si>
  <si>
    <t>13:07:50</t>
  </si>
  <si>
    <t>13:10:36</t>
  </si>
  <si>
    <t>13:14:39</t>
  </si>
  <si>
    <t>13:17:30</t>
  </si>
  <si>
    <t>13:27:17</t>
  </si>
  <si>
    <t>13:29:56</t>
  </si>
  <si>
    <t>13:33:14</t>
  </si>
  <si>
    <t>13:37:33</t>
  </si>
  <si>
    <t>13:34:53</t>
  </si>
  <si>
    <t>13:37:32</t>
  </si>
  <si>
    <t>13:42:35</t>
  </si>
  <si>
    <t>13:47:37</t>
  </si>
  <si>
    <t>13:49:21</t>
  </si>
  <si>
    <t>13:53:50</t>
  </si>
  <si>
    <t>13:56:26</t>
  </si>
  <si>
    <t>14:10:16</t>
  </si>
  <si>
    <t>14:12:56</t>
  </si>
  <si>
    <t>14:17:31</t>
  </si>
  <si>
    <t>14:19:27</t>
  </si>
  <si>
    <t>14:24:02</t>
  </si>
  <si>
    <t>14:27:15</t>
  </si>
  <si>
    <t>14:35:55</t>
  </si>
  <si>
    <t>14:38:23</t>
  </si>
  <si>
    <t>14:42:20</t>
  </si>
  <si>
    <t>14:46:49</t>
  </si>
  <si>
    <t>14:45:36</t>
  </si>
  <si>
    <t>14:47:23</t>
  </si>
  <si>
    <t>14:49:43</t>
  </si>
  <si>
    <t>14:56:18</t>
  </si>
  <si>
    <t>14:59:45</t>
  </si>
  <si>
    <t>15:01:56</t>
  </si>
  <si>
    <t>15:04:54</t>
  </si>
  <si>
    <t>15:09:02</t>
  </si>
  <si>
    <t>15:11:59</t>
  </si>
  <si>
    <t>15:15:57</t>
  </si>
  <si>
    <t>15:18:42</t>
  </si>
  <si>
    <t>15:21:33</t>
  </si>
  <si>
    <t>15:25:44</t>
  </si>
  <si>
    <t>15:28:39</t>
  </si>
  <si>
    <t>15:32:34</t>
  </si>
  <si>
    <t>15:35:21</t>
  </si>
  <si>
    <t>15:43:48</t>
  </si>
  <si>
    <t>15:46:42</t>
  </si>
  <si>
    <t>15:50:49</t>
  </si>
  <si>
    <t>15:54:57</t>
  </si>
  <si>
    <t>15:56:03</t>
  </si>
  <si>
    <t>15:57:06</t>
  </si>
  <si>
    <t>16:03:58</t>
  </si>
  <si>
    <t>16:07:06</t>
  </si>
  <si>
    <t>16:10:37</t>
  </si>
  <si>
    <t>16:13:47</t>
  </si>
  <si>
    <t>16:18:31</t>
  </si>
  <si>
    <t>16:21:37</t>
  </si>
  <si>
    <t>16:24:57</t>
  </si>
  <si>
    <t>16:27:18</t>
  </si>
  <si>
    <t>16:32:05</t>
  </si>
  <si>
    <t>16:35:54</t>
  </si>
  <si>
    <t>16:36:43</t>
  </si>
  <si>
    <t>16:40:50</t>
  </si>
  <si>
    <t>16:43:31</t>
  </si>
  <si>
    <t>16:54:13</t>
  </si>
  <si>
    <t>16:57:23</t>
  </si>
  <si>
    <t>17:02:14</t>
  </si>
  <si>
    <t>17:05:55</t>
  </si>
  <si>
    <t>17:03:07</t>
  </si>
  <si>
    <t>17:09:19</t>
  </si>
  <si>
    <t>17:13:07</t>
  </si>
  <si>
    <t>17:15:28</t>
  </si>
  <si>
    <t>17:20:04</t>
  </si>
  <si>
    <t>17:22:50</t>
  </si>
  <si>
    <t>17:26:57</t>
  </si>
  <si>
    <t>17:29:30</t>
  </si>
  <si>
    <t>17:34:58</t>
  </si>
  <si>
    <t>17:36:13</t>
  </si>
  <si>
    <t>17:40:17</t>
  </si>
  <si>
    <t>17:42:39</t>
  </si>
  <si>
    <t>17:45:41</t>
  </si>
  <si>
    <t>17:49:16</t>
  </si>
  <si>
    <t>17:54:24</t>
  </si>
  <si>
    <t>18:02:44</t>
  </si>
  <si>
    <t>18:10:00</t>
  </si>
  <si>
    <t>18:12:44</t>
  </si>
  <si>
    <t>09:03:01</t>
  </si>
  <si>
    <t>09:10:15</t>
  </si>
  <si>
    <t>09:13:16</t>
  </si>
  <si>
    <t>09:17:01</t>
  </si>
  <si>
    <t>09:19:30</t>
  </si>
  <si>
    <t>09:24:36</t>
  </si>
  <si>
    <t>09:26:41</t>
  </si>
  <si>
    <t>09:31:25</t>
  </si>
  <si>
    <t>09:33:46</t>
  </si>
  <si>
    <t>09:37:28</t>
  </si>
  <si>
    <t>09:39:29</t>
  </si>
  <si>
    <t>09:43:08</t>
  </si>
  <si>
    <t>09:49:24</t>
  </si>
  <si>
    <t>09:52:30</t>
  </si>
  <si>
    <t>09:58:03</t>
  </si>
  <si>
    <t>10:03:34</t>
  </si>
  <si>
    <t>10:07:00</t>
  </si>
  <si>
    <t>10:09:55</t>
  </si>
  <si>
    <t>10:08:58</t>
  </si>
  <si>
    <t>10:12:11</t>
  </si>
  <si>
    <t>10:15:34</t>
  </si>
  <si>
    <t>10:18:29</t>
  </si>
  <si>
    <t>10:22:05</t>
  </si>
  <si>
    <t>10:27:01</t>
  </si>
  <si>
    <t>10:30:02</t>
  </si>
  <si>
    <t>10:36:35</t>
  </si>
  <si>
    <t>10:41:32</t>
  </si>
  <si>
    <t>10:43:10</t>
  </si>
  <si>
    <t>10:47:33</t>
  </si>
  <si>
    <t>10:51:31</t>
  </si>
  <si>
    <t>10:54:09</t>
  </si>
  <si>
    <t>10:58:58</t>
  </si>
  <si>
    <t>11:08:57</t>
  </si>
  <si>
    <t>11:12:16</t>
  </si>
  <si>
    <t>11:15:58</t>
  </si>
  <si>
    <t>11:18:49</t>
  </si>
  <si>
    <t>11:17:57</t>
  </si>
  <si>
    <t>11:20:43</t>
  </si>
  <si>
    <t>11:23:30</t>
  </si>
  <si>
    <t>11:28:47</t>
  </si>
  <si>
    <t>11:30:33</t>
  </si>
  <si>
    <t>11:36:09</t>
  </si>
  <si>
    <t>11:39:29</t>
  </si>
  <si>
    <t>11:50:26</t>
  </si>
  <si>
    <t>11:52:06</t>
  </si>
  <si>
    <t>11:55:58</t>
  </si>
  <si>
    <t>12:01:13</t>
  </si>
  <si>
    <t>12:02:02</t>
  </si>
  <si>
    <t>12:06:03</t>
  </si>
  <si>
    <t>12:08:42</t>
  </si>
  <si>
    <t>12:18:22</t>
  </si>
  <si>
    <t>12:21:09</t>
  </si>
  <si>
    <t>12:24:16</t>
  </si>
  <si>
    <t>12:28:14</t>
  </si>
  <si>
    <t>12:27:31</t>
  </si>
  <si>
    <t>12:29:51</t>
  </si>
  <si>
    <t>12:33:32</t>
  </si>
  <si>
    <t>12:36:01</t>
  </si>
  <si>
    <t>12:38:33</t>
  </si>
  <si>
    <t>12:43:31</t>
  </si>
  <si>
    <t>12:46:03</t>
  </si>
  <si>
    <t>12:51:44</t>
  </si>
  <si>
    <t>12:52:36</t>
  </si>
  <si>
    <t>12:58:33</t>
  </si>
  <si>
    <t>13:07:51</t>
  </si>
  <si>
    <t>13:11:21</t>
  </si>
  <si>
    <t>13:14:36</t>
  </si>
  <si>
    <t>13:18:42</t>
  </si>
  <si>
    <t>13:27:48</t>
  </si>
  <si>
    <t>13:29:55</t>
  </si>
  <si>
    <t>13:35:09</t>
  </si>
  <si>
    <t>13:36:20</t>
  </si>
  <si>
    <t>13:36:12</t>
  </si>
  <si>
    <t>13:40:32</t>
  </si>
  <si>
    <t>13:43:36</t>
  </si>
  <si>
    <t>13:44:12</t>
  </si>
  <si>
    <t>13:50:51</t>
  </si>
  <si>
    <t>13:56:28</t>
  </si>
  <si>
    <t>14:03:02</t>
  </si>
  <si>
    <t>14:07:06</t>
  </si>
  <si>
    <t>14:09:41</t>
  </si>
  <si>
    <t>14:12:32</t>
  </si>
  <si>
    <t>14:17:06</t>
  </si>
  <si>
    <t>14:19:21</t>
  </si>
  <si>
    <t>14:26:13</t>
  </si>
  <si>
    <t>14:36:00</t>
  </si>
  <si>
    <t>14:38:21</t>
  </si>
  <si>
    <t>14:43:44</t>
  </si>
  <si>
    <t>14:45:54</t>
  </si>
  <si>
    <t>14:44:01</t>
  </si>
  <si>
    <t>14:48:40</t>
  </si>
  <si>
    <t>14:50:28</t>
  </si>
  <si>
    <t>14:53:58</t>
  </si>
  <si>
    <t>14:57:24</t>
  </si>
  <si>
    <t>15:04:51</t>
  </si>
  <si>
    <t>15:08:40</t>
  </si>
  <si>
    <t>15:12:23</t>
  </si>
  <si>
    <t>15:15:27</t>
  </si>
  <si>
    <t>15:21:22</t>
  </si>
  <si>
    <t>15:27:01</t>
  </si>
  <si>
    <t>15:28:24</t>
  </si>
  <si>
    <t>15:32:43</t>
  </si>
  <si>
    <t>15:54:58</t>
  </si>
  <si>
    <t>15:58:45</t>
  </si>
  <si>
    <t>16:04:03</t>
  </si>
  <si>
    <t>16:06:59</t>
  </si>
  <si>
    <t>16:10:39</t>
  </si>
  <si>
    <t>16:14:02</t>
  </si>
  <si>
    <t>16:17:23</t>
  </si>
  <si>
    <t>16:21:47</t>
  </si>
  <si>
    <t>16:25:19</t>
  </si>
  <si>
    <t>16:28:38</t>
  </si>
  <si>
    <t>16:31:42</t>
  </si>
  <si>
    <t>16:35:55</t>
  </si>
  <si>
    <t>16:38:15</t>
  </si>
  <si>
    <t>16:42:55</t>
  </si>
  <si>
    <t>16:46:17</t>
  </si>
  <si>
    <t>16:54:09</t>
  </si>
  <si>
    <t>16:57:40</t>
  </si>
  <si>
    <t>16:58:50</t>
  </si>
  <si>
    <t>17:03:11</t>
  </si>
  <si>
    <t>17:02:54</t>
  </si>
  <si>
    <t>17:06:06</t>
  </si>
  <si>
    <t>17:08:42</t>
  </si>
  <si>
    <t>17:20:21</t>
  </si>
  <si>
    <t>17:23:15</t>
  </si>
  <si>
    <t>17:28:04</t>
  </si>
  <si>
    <t>17:30:26</t>
  </si>
  <si>
    <t>17:35:06</t>
  </si>
  <si>
    <t>17:36:29</t>
  </si>
  <si>
    <t>17:38:49</t>
  </si>
  <si>
    <t>17:44:18</t>
  </si>
  <si>
    <t>17:46:34</t>
  </si>
  <si>
    <t>17:51:01</t>
  </si>
  <si>
    <t>17:55:15</t>
  </si>
  <si>
    <t>18:03:42</t>
  </si>
  <si>
    <t>18:06:01</t>
  </si>
  <si>
    <t>18:10:09</t>
  </si>
  <si>
    <t>18:13:12</t>
  </si>
  <si>
    <t>09:02:58</t>
  </si>
  <si>
    <t>09:10:20</t>
  </si>
  <si>
    <t>09:13:20</t>
  </si>
  <si>
    <t>09:16:28</t>
  </si>
  <si>
    <t>09:20:29</t>
  </si>
  <si>
    <t>09:24:09</t>
  </si>
  <si>
    <t>09:26:38</t>
  </si>
  <si>
    <t>09:30:39</t>
  </si>
  <si>
    <t>09:35:00</t>
  </si>
  <si>
    <t>09:38:23</t>
  </si>
  <si>
    <t>09:39:42</t>
  </si>
  <si>
    <t>09:42:48</t>
  </si>
  <si>
    <t>09:49:20</t>
  </si>
  <si>
    <t>09:50:28</t>
  </si>
  <si>
    <t>09:58:48</t>
  </si>
  <si>
    <t>10:05:12</t>
  </si>
  <si>
    <t>10:08:47</t>
  </si>
  <si>
    <t>10:14:50</t>
  </si>
  <si>
    <t>10:19:06</t>
  </si>
  <si>
    <t>10:21:23</t>
  </si>
  <si>
    <t>10:26:30</t>
  </si>
  <si>
    <t>10:28:49</t>
  </si>
  <si>
    <t>10:32:40</t>
  </si>
  <si>
    <t>10:36:47</t>
  </si>
  <si>
    <t>10:38:41</t>
  </si>
  <si>
    <t>10:41:50</t>
  </si>
  <si>
    <t>10:46:38</t>
  </si>
  <si>
    <t>10:50:38</t>
  </si>
  <si>
    <t>10:52:46</t>
  </si>
  <si>
    <t>10:58:09</t>
  </si>
  <si>
    <t>11:09:03</t>
  </si>
  <si>
    <t>11:12:05</t>
  </si>
  <si>
    <t>11:15:55</t>
  </si>
  <si>
    <t>11:18:27</t>
  </si>
  <si>
    <t>11:18:23</t>
  </si>
  <si>
    <t>11:21:26</t>
  </si>
  <si>
    <t>11:23:17</t>
  </si>
  <si>
    <t>11:27:51</t>
  </si>
  <si>
    <t>11:31:04</t>
  </si>
  <si>
    <t>11:35:09</t>
  </si>
  <si>
    <t>11:36:42</t>
  </si>
  <si>
    <t>11:41:48</t>
  </si>
  <si>
    <t>11:46:18</t>
  </si>
  <si>
    <t>11:48:38</t>
  </si>
  <si>
    <t>11:50:24</t>
  </si>
  <si>
    <t>11:53:34</t>
  </si>
  <si>
    <t>12:00:34</t>
  </si>
  <si>
    <t>12:05:59</t>
  </si>
  <si>
    <t>12:17:43</t>
  </si>
  <si>
    <t>12:21:00</t>
  </si>
  <si>
    <t>12:25:00</t>
  </si>
  <si>
    <t>12:28:25</t>
  </si>
  <si>
    <t>12:26:26</t>
  </si>
  <si>
    <t>12:29:10</t>
  </si>
  <si>
    <t>12:33:16</t>
  </si>
  <si>
    <t>12:36:03</t>
  </si>
  <si>
    <t>12:40:48</t>
  </si>
  <si>
    <t>12:44:38</t>
  </si>
  <si>
    <t>12:47:30</t>
  </si>
  <si>
    <t>12:52:29</t>
  </si>
  <si>
    <t>12:52:30</t>
  </si>
  <si>
    <t>12:57:44</t>
  </si>
  <si>
    <t>13:03:52</t>
  </si>
  <si>
    <t>13:07:43</t>
  </si>
  <si>
    <t>13:10:38</t>
  </si>
  <si>
    <t>13:15:06</t>
  </si>
  <si>
    <t>13:18:06</t>
  </si>
  <si>
    <t>13:26:55</t>
  </si>
  <si>
    <t>13:29:23</t>
  </si>
  <si>
    <t>13:34:00</t>
  </si>
  <si>
    <t>13:34:49</t>
  </si>
  <si>
    <t>13:39:27</t>
  </si>
  <si>
    <t>13:42:41</t>
  </si>
  <si>
    <t>13:46:05</t>
  </si>
  <si>
    <t>13:48:31</t>
  </si>
  <si>
    <t>13:52:37</t>
  </si>
  <si>
    <t>14:06:52</t>
  </si>
  <si>
    <t>14:10:17</t>
  </si>
  <si>
    <t>14:13:05</t>
  </si>
  <si>
    <t>14:16:45</t>
  </si>
  <si>
    <t>14:20:09</t>
  </si>
  <si>
    <t>14:24:06</t>
  </si>
  <si>
    <t>14:27:22</t>
  </si>
  <si>
    <t>14:36:25</t>
  </si>
  <si>
    <t>14:37:42</t>
  </si>
  <si>
    <t>14:44:22</t>
  </si>
  <si>
    <t>14:43:29</t>
  </si>
  <si>
    <t>14:49:19</t>
  </si>
  <si>
    <t>14:52:06</t>
  </si>
  <si>
    <t>14:55:42</t>
  </si>
  <si>
    <t>14:57:26</t>
  </si>
  <si>
    <t>15:02:03</t>
  </si>
  <si>
    <t>15:05:05</t>
  </si>
  <si>
    <t>15:08:55</t>
  </si>
  <si>
    <t>15:12:06</t>
  </si>
  <si>
    <t>15:15:40</t>
  </si>
  <si>
    <t>15:19:42</t>
  </si>
  <si>
    <t>15:21:47</t>
  </si>
  <si>
    <t>15:26:33</t>
  </si>
  <si>
    <t>15:29:03</t>
  </si>
  <si>
    <t>15:33:47</t>
  </si>
  <si>
    <t>15:34:43</t>
  </si>
  <si>
    <t>15:45:10</t>
  </si>
  <si>
    <t>15:49:11</t>
  </si>
  <si>
    <t>15:50:27</t>
  </si>
  <si>
    <t>15:54:48</t>
  </si>
  <si>
    <t>15:55:25</t>
  </si>
  <si>
    <t>15:55:09</t>
  </si>
  <si>
    <t>16:03:52</t>
  </si>
  <si>
    <t>16:06:52</t>
  </si>
  <si>
    <t>16:10:46</t>
  </si>
  <si>
    <t>16:14:22</t>
  </si>
  <si>
    <t>16:17:29</t>
  </si>
  <si>
    <t>16:21:19</t>
  </si>
  <si>
    <t>16:28:54</t>
  </si>
  <si>
    <t>16:30:18</t>
  </si>
  <si>
    <t>16:36:13</t>
  </si>
  <si>
    <t>16:37:47</t>
  </si>
  <si>
    <t>16:41:20</t>
  </si>
  <si>
    <t>16:44:43</t>
  </si>
  <si>
    <t>16:52:18</t>
  </si>
  <si>
    <t>16:57:08</t>
  </si>
  <si>
    <t>17:01:20</t>
  </si>
  <si>
    <t>17:03:01</t>
  </si>
  <si>
    <t>17:05:51</t>
  </si>
  <si>
    <t>17:09:20</t>
  </si>
  <si>
    <t>17:13:02</t>
  </si>
  <si>
    <t>17:15:24</t>
  </si>
  <si>
    <t>17:20:13</t>
  </si>
  <si>
    <t>09:05:51</t>
  </si>
  <si>
    <t>09:10:10</t>
  </si>
  <si>
    <t>09:12:48</t>
  </si>
  <si>
    <t>09:17:31</t>
  </si>
  <si>
    <t>09:20:01</t>
  </si>
  <si>
    <t>09:23:07</t>
  </si>
  <si>
    <t>09:26:33</t>
  </si>
  <si>
    <t>09:30:35</t>
  </si>
  <si>
    <t>09:33:50</t>
  </si>
  <si>
    <t>09:36:50</t>
  </si>
  <si>
    <t>09:42:33</t>
  </si>
  <si>
    <t>09:49:09</t>
  </si>
  <si>
    <t>09:49:17</t>
  </si>
  <si>
    <t>10:00:12</t>
  </si>
  <si>
    <t>10:01:04</t>
  </si>
  <si>
    <t>10:06:59</t>
  </si>
  <si>
    <t>10:09:59</t>
  </si>
  <si>
    <t>10:08:54</t>
  </si>
  <si>
    <t>10:11:34</t>
  </si>
  <si>
    <t>10:15:35</t>
  </si>
  <si>
    <t>10:19:43</t>
  </si>
  <si>
    <t>10:22:18</t>
  </si>
  <si>
    <t>10:26:01</t>
  </si>
  <si>
    <t>10:28:13</t>
  </si>
  <si>
    <t>10:33:55</t>
  </si>
  <si>
    <t>10:34:40</t>
  </si>
  <si>
    <t>10:40:53</t>
  </si>
  <si>
    <t>10:42:36</t>
  </si>
  <si>
    <t>10:46:23</t>
  </si>
  <si>
    <t>10:51:47</t>
  </si>
  <si>
    <t>10:54:06</t>
  </si>
  <si>
    <t>10:57:08</t>
  </si>
  <si>
    <t>11:08:51</t>
  </si>
  <si>
    <t>11:12:00</t>
  </si>
  <si>
    <t>11:18:57</t>
  </si>
  <si>
    <t>11:18:16</t>
  </si>
  <si>
    <t>11:21:50</t>
  </si>
  <si>
    <t>11:23:19</t>
  </si>
  <si>
    <t>11:27:17</t>
  </si>
  <si>
    <t>11:31:46</t>
  </si>
  <si>
    <t>11:34:35</t>
  </si>
  <si>
    <t>11:38:07</t>
  </si>
  <si>
    <t>11:42:42</t>
  </si>
  <si>
    <t>11:43:50</t>
  </si>
  <si>
    <t>11:47:56</t>
  </si>
  <si>
    <t>11:50:55</t>
  </si>
  <si>
    <t>11:54:24</t>
  </si>
  <si>
    <t>11:58:51</t>
  </si>
  <si>
    <t>12:02:01</t>
  </si>
  <si>
    <t>12:05:55</t>
  </si>
  <si>
    <t>12:08:57</t>
  </si>
  <si>
    <t>12:17:34</t>
  </si>
  <si>
    <t>12:20:28</t>
  </si>
  <si>
    <t>12:25:01</t>
  </si>
  <si>
    <t>12:28:15</t>
  </si>
  <si>
    <t>12:26:52</t>
  </si>
  <si>
    <t>12:30:59</t>
  </si>
  <si>
    <t>12:33:02</t>
  </si>
  <si>
    <t>12:36:00</t>
  </si>
  <si>
    <t>12:39:31</t>
  </si>
  <si>
    <t>12:43:08</t>
  </si>
  <si>
    <t>12:46:10</t>
  </si>
  <si>
    <t>12:51:28</t>
  </si>
  <si>
    <t>12:54:36</t>
  </si>
  <si>
    <t>12:56:24</t>
  </si>
  <si>
    <t>13:04:06</t>
  </si>
  <si>
    <t>13:08:12</t>
  </si>
  <si>
    <t>13:10:37</t>
  </si>
  <si>
    <t>13:14:44</t>
  </si>
  <si>
    <t>13:17:53</t>
  </si>
  <si>
    <t>13:27:00</t>
  </si>
  <si>
    <t>13:29:35</t>
  </si>
  <si>
    <t>13:33:25</t>
  </si>
  <si>
    <t>13:36:29</t>
  </si>
  <si>
    <t>13:34:44</t>
  </si>
  <si>
    <t>13:38:49</t>
  </si>
  <si>
    <t>13:41:01</t>
  </si>
  <si>
    <t>13:47:19</t>
  </si>
  <si>
    <t>13:50:54</t>
  </si>
  <si>
    <t>13:51:27</t>
  </si>
  <si>
    <t>13:56:16</t>
  </si>
  <si>
    <t>14:02:57</t>
  </si>
  <si>
    <t>14:06:53</t>
  </si>
  <si>
    <t>14:13:27</t>
  </si>
  <si>
    <t>14:20:47</t>
  </si>
  <si>
    <t>14:24:43</t>
  </si>
  <si>
    <t>14:26:07</t>
  </si>
  <si>
    <t>14:35:54</t>
  </si>
  <si>
    <t>14:39:13</t>
  </si>
  <si>
    <t>14:42:21</t>
  </si>
  <si>
    <t>14:46:33</t>
  </si>
  <si>
    <t>14:43:36</t>
  </si>
  <si>
    <t>15:54:14</t>
  </si>
  <si>
    <t>15:56:24</t>
  </si>
  <si>
    <t>16:07:07</t>
  </si>
  <si>
    <t>16:10:58</t>
  </si>
  <si>
    <t>16:13:36</t>
  </si>
  <si>
    <t>16:17:31</t>
  </si>
  <si>
    <t>16:21:34</t>
  </si>
  <si>
    <t>16:28:08</t>
  </si>
  <si>
    <t>16:30:41</t>
  </si>
  <si>
    <t>16:36:20</t>
  </si>
  <si>
    <t>16:39:07</t>
  </si>
  <si>
    <t>16:42:19</t>
  </si>
  <si>
    <t>16:46:01</t>
  </si>
  <si>
    <t>16:52:56</t>
  </si>
  <si>
    <t>16:56:56</t>
  </si>
  <si>
    <t>17:01:59</t>
  </si>
  <si>
    <t>17:05:31</t>
  </si>
  <si>
    <t>17:06:05</t>
  </si>
  <si>
    <t>17:08:58</t>
  </si>
  <si>
    <t>17:12:55</t>
  </si>
  <si>
    <t>17:22:21</t>
  </si>
  <si>
    <t>17:26:38</t>
  </si>
  <si>
    <t>17:30:03</t>
  </si>
  <si>
    <t>17:33:54</t>
  </si>
  <si>
    <t>17:37:08</t>
  </si>
  <si>
    <t>17:44:23</t>
  </si>
  <si>
    <t>17:46:11</t>
  </si>
  <si>
    <t>17:52:48</t>
  </si>
  <si>
    <t>17:54:53</t>
  </si>
  <si>
    <t>18:02:55</t>
  </si>
  <si>
    <t>18:05:59</t>
  </si>
  <si>
    <t>18:10:04</t>
  </si>
  <si>
    <t>09:06:12</t>
  </si>
  <si>
    <t>09:20:11</t>
  </si>
  <si>
    <t>09:23:31</t>
  </si>
  <si>
    <t>09:26:26</t>
  </si>
  <si>
    <t>09:34:29</t>
  </si>
  <si>
    <t>09:38:22</t>
  </si>
  <si>
    <t>09:41:30</t>
  </si>
  <si>
    <t>09:44:31</t>
  </si>
  <si>
    <t>09:47:11</t>
  </si>
  <si>
    <t>09:51:37</t>
  </si>
  <si>
    <t>10:01:03</t>
  </si>
  <si>
    <t>10:02:38</t>
  </si>
  <si>
    <t>10:07:04</t>
  </si>
  <si>
    <t>10:09:53</t>
  </si>
  <si>
    <t>10:09:16</t>
  </si>
  <si>
    <t>10:11:32</t>
  </si>
  <si>
    <t>10:14:45</t>
  </si>
  <si>
    <t>10:19:02</t>
  </si>
  <si>
    <t>10:21:57</t>
  </si>
  <si>
    <t>10:25:39</t>
  </si>
  <si>
    <t>10:29:20</t>
  </si>
  <si>
    <t>10:33:37</t>
  </si>
  <si>
    <t>10:36:30</t>
  </si>
  <si>
    <t>10:40:21</t>
  </si>
  <si>
    <t>10:44:07</t>
  </si>
  <si>
    <t>10:45:39</t>
  </si>
  <si>
    <t>10:51:55</t>
  </si>
  <si>
    <t>10:54:50</t>
  </si>
  <si>
    <t>10:56:29</t>
  </si>
  <si>
    <t>11:09:04</t>
  </si>
  <si>
    <t>11:15:37</t>
  </si>
  <si>
    <t>11:18:48</t>
  </si>
  <si>
    <t>11:21:39</t>
  </si>
  <si>
    <t>11:23:16</t>
  </si>
  <si>
    <t>11:28:15</t>
  </si>
  <si>
    <t>11:30:57</t>
  </si>
  <si>
    <t>11:36:22</t>
  </si>
  <si>
    <t>11:38:36</t>
  </si>
  <si>
    <t>11:43:00</t>
  </si>
  <si>
    <t>11:45:38</t>
  </si>
  <si>
    <t>11:49:05</t>
  </si>
  <si>
    <t>11:51:26</t>
  </si>
  <si>
    <t>11:53:05</t>
  </si>
  <si>
    <t>11:57:36</t>
  </si>
  <si>
    <t>12:01:57</t>
  </si>
  <si>
    <t>12:06:05</t>
  </si>
  <si>
    <t>12:09:17</t>
  </si>
  <si>
    <t>12:17:58</t>
  </si>
  <si>
    <t>12:21:04</t>
  </si>
  <si>
    <t>12:25:16</t>
  </si>
  <si>
    <t>12:27:49</t>
  </si>
  <si>
    <t>12:27:10</t>
  </si>
  <si>
    <t>12:28:55</t>
  </si>
  <si>
    <t>12:33:06</t>
  </si>
  <si>
    <t>12:38:26</t>
  </si>
  <si>
    <t>12:39:20</t>
  </si>
  <si>
    <t>12:44:56</t>
  </si>
  <si>
    <t>12:48:51</t>
  </si>
  <si>
    <t>12:52:12</t>
  </si>
  <si>
    <t>12:56:18</t>
  </si>
  <si>
    <t>13:00:59</t>
  </si>
  <si>
    <t>13:10:59</t>
  </si>
  <si>
    <t>13:14:55</t>
  </si>
  <si>
    <t>13:17:39</t>
  </si>
  <si>
    <t>13:26:37</t>
  </si>
  <si>
    <t>13:29:04</t>
  </si>
  <si>
    <t>13:34:15</t>
  </si>
  <si>
    <t>13:36:15</t>
  </si>
  <si>
    <t>13:34:40</t>
  </si>
  <si>
    <t>13:39:18</t>
  </si>
  <si>
    <t>13:42:48</t>
  </si>
  <si>
    <t>13:45:02</t>
  </si>
  <si>
    <t>13:47:36</t>
  </si>
  <si>
    <t>13:54:20</t>
  </si>
  <si>
    <t>13:55:12</t>
  </si>
  <si>
    <t>14:03:05</t>
  </si>
  <si>
    <t>14:06:51</t>
  </si>
  <si>
    <t>14:09:39</t>
  </si>
  <si>
    <t>14:13:25</t>
  </si>
  <si>
    <t>14:16:55</t>
  </si>
  <si>
    <t>14:20:45</t>
  </si>
  <si>
    <t>14:23:40</t>
  </si>
  <si>
    <t>14:26:15</t>
  </si>
  <si>
    <t>14:36:37</t>
  </si>
  <si>
    <t>14:39:57</t>
  </si>
  <si>
    <t>14:41:56</t>
  </si>
  <si>
    <t>14:46:12</t>
  </si>
  <si>
    <t>14:44:36</t>
  </si>
  <si>
    <t>14:47:04</t>
  </si>
  <si>
    <t>14:49:17</t>
  </si>
  <si>
    <t>14:53:13</t>
  </si>
  <si>
    <t>14:56:56</t>
  </si>
  <si>
    <t>15:01:58</t>
  </si>
  <si>
    <t>15:09:19</t>
  </si>
  <si>
    <t>15:12:25</t>
  </si>
  <si>
    <t>15:16:18</t>
  </si>
  <si>
    <t>15:53:11</t>
  </si>
  <si>
    <t>15:56:22</t>
  </si>
  <si>
    <t>16:04:07</t>
  </si>
  <si>
    <t>16:06:58</t>
  </si>
  <si>
    <t>16:10:42</t>
  </si>
  <si>
    <t>16:14:29</t>
  </si>
  <si>
    <t>16:17:53</t>
  </si>
  <si>
    <t>16:20:43</t>
  </si>
  <si>
    <t>16:25:40</t>
  </si>
  <si>
    <t>16:28:20</t>
  </si>
  <si>
    <t>16:30:24</t>
  </si>
  <si>
    <t>16:35:23</t>
  </si>
  <si>
    <t>16:37:00</t>
  </si>
  <si>
    <t>16:40:48</t>
  </si>
  <si>
    <t>16:43:52</t>
  </si>
  <si>
    <t>16:55:47</t>
  </si>
  <si>
    <t>16:58:24</t>
  </si>
  <si>
    <t>16:58:59</t>
  </si>
  <si>
    <t>17:02:18</t>
  </si>
  <si>
    <t>17:05:50</t>
  </si>
  <si>
    <t>17:08:59</t>
  </si>
  <si>
    <t>17:13:08</t>
  </si>
  <si>
    <t>17:16:12</t>
  </si>
  <si>
    <t>17:20:03</t>
  </si>
  <si>
    <t>17:22:07</t>
  </si>
  <si>
    <t>17:28:01</t>
  </si>
  <si>
    <t>17:30:45</t>
  </si>
  <si>
    <t>17:34:49</t>
  </si>
  <si>
    <t>17:38:14</t>
  </si>
  <si>
    <t>17:39:11</t>
  </si>
  <si>
    <t>17:43:08</t>
  </si>
  <si>
    <t>17:48:06</t>
  </si>
  <si>
    <t>17:52:52</t>
  </si>
  <si>
    <t>17:52:54</t>
  </si>
  <si>
    <t>18:02:05</t>
  </si>
  <si>
    <t>18:06:02</t>
  </si>
  <si>
    <t>18:09:51</t>
  </si>
  <si>
    <t>18:13:02</t>
  </si>
  <si>
    <t>10:08:52</t>
  </si>
  <si>
    <t>10:12:26</t>
  </si>
  <si>
    <t>10:15:23</t>
  </si>
  <si>
    <t>10:18:30</t>
  </si>
  <si>
    <t>10:22:35</t>
  </si>
  <si>
    <t>10:26:49</t>
  </si>
  <si>
    <t>10:29:35</t>
  </si>
  <si>
    <t>10:33:35</t>
  </si>
  <si>
    <t>10:37:21</t>
  </si>
  <si>
    <t>10:39:48</t>
  </si>
  <si>
    <t>10:43:21</t>
  </si>
  <si>
    <t>10:45:38</t>
  </si>
  <si>
    <t>10:50:32</t>
  </si>
  <si>
    <t>10:51:51</t>
  </si>
  <si>
    <t>10:56:42</t>
  </si>
  <si>
    <t>11:15:54</t>
  </si>
  <si>
    <t>11:19:16</t>
  </si>
  <si>
    <t>11:17:27</t>
  </si>
  <si>
    <t>11:20:11</t>
  </si>
  <si>
    <t>11:23:44</t>
  </si>
  <si>
    <t>11:27:11</t>
  </si>
  <si>
    <t>11:30:53</t>
  </si>
  <si>
    <t>11:34:45</t>
  </si>
  <si>
    <t>11:37:34</t>
  </si>
  <si>
    <t>11:42:19</t>
  </si>
  <si>
    <t>11:43:15</t>
  </si>
  <si>
    <t>11:50:05</t>
  </si>
  <si>
    <t>11:53:41</t>
  </si>
  <si>
    <t>11:55:05</t>
  </si>
  <si>
    <t>11:57:27</t>
  </si>
  <si>
    <t>12:01:58</t>
  </si>
  <si>
    <t>12:05:51</t>
  </si>
  <si>
    <t>12:08:52</t>
  </si>
  <si>
    <t>12:17:45</t>
  </si>
  <si>
    <t>12:24:56</t>
  </si>
  <si>
    <t>12:27:06</t>
  </si>
  <si>
    <t>12:27:44</t>
  </si>
  <si>
    <t>12:29:43</t>
  </si>
  <si>
    <t>12:32:34</t>
  </si>
  <si>
    <t>12:35:56</t>
  </si>
  <si>
    <t>12:41:25</t>
  </si>
  <si>
    <t>12:43:21</t>
  </si>
  <si>
    <t>12:46:13</t>
  </si>
  <si>
    <t>12:50:58</t>
  </si>
  <si>
    <t>12:53:15</t>
  </si>
  <si>
    <t>12:57:23</t>
  </si>
  <si>
    <t>13:04:03</t>
  </si>
  <si>
    <t>13:08:17</t>
  </si>
  <si>
    <t>13:10:45</t>
  </si>
  <si>
    <t>13:14:29</t>
  </si>
  <si>
    <t>13:26:33</t>
  </si>
  <si>
    <t>13:30:25</t>
  </si>
  <si>
    <t>13:33:53</t>
  </si>
  <si>
    <t>13:37:12</t>
  </si>
  <si>
    <t>13:37:13</t>
  </si>
  <si>
    <t>13:40:09</t>
  </si>
  <si>
    <t>13:40:27</t>
  </si>
  <si>
    <t>13:47:27</t>
  </si>
  <si>
    <t>13:49:32</t>
  </si>
  <si>
    <t>13:54:08</t>
  </si>
  <si>
    <t>13:55:22</t>
  </si>
  <si>
    <t>14:06:47</t>
  </si>
  <si>
    <t>14:09:47</t>
  </si>
  <si>
    <t>14:13:03</t>
  </si>
  <si>
    <t>14:16:38</t>
  </si>
  <si>
    <t>14:19:57</t>
  </si>
  <si>
    <t>14:24:21</t>
  </si>
  <si>
    <t>14:28:04</t>
  </si>
  <si>
    <t>14:35:30</t>
  </si>
  <si>
    <t>14:39:54</t>
  </si>
  <si>
    <t>14:42:33</t>
  </si>
  <si>
    <t>14:46:55</t>
  </si>
  <si>
    <t>14:44:55</t>
  </si>
  <si>
    <t>14:47:46</t>
  </si>
  <si>
    <t>14:49:15</t>
  </si>
  <si>
    <t>14:53:19</t>
  </si>
  <si>
    <t>14:56:12</t>
  </si>
  <si>
    <t>15:04:52</t>
  </si>
  <si>
    <t>15:12:07</t>
  </si>
  <si>
    <t>15:16:12</t>
  </si>
  <si>
    <t>15:19:21</t>
  </si>
  <si>
    <t>15:22:09</t>
  </si>
  <si>
    <t>15:26:25</t>
  </si>
  <si>
    <t>15:29:35</t>
  </si>
  <si>
    <t>15:31:57</t>
  </si>
  <si>
    <t>15:35:37</t>
  </si>
  <si>
    <t>15:43:46</t>
  </si>
  <si>
    <t>15:48:05</t>
  </si>
  <si>
    <t>15:52:21</t>
  </si>
  <si>
    <t>17:06:02</t>
  </si>
  <si>
    <t>17:09:13</t>
  </si>
  <si>
    <t>17:13:20</t>
  </si>
  <si>
    <t>17:15:56</t>
  </si>
  <si>
    <t>17:19:22</t>
  </si>
  <si>
    <t>17:22:38</t>
  </si>
  <si>
    <t>17:26:30</t>
  </si>
  <si>
    <t>17:30:52</t>
  </si>
  <si>
    <t>17:33:13</t>
  </si>
  <si>
    <t>17:37:33</t>
  </si>
  <si>
    <t>17:40:25</t>
  </si>
  <si>
    <t>17:42:44</t>
  </si>
  <si>
    <t>17:48:08</t>
  </si>
  <si>
    <t>17:51:07</t>
  </si>
  <si>
    <t>17:52:35</t>
  </si>
  <si>
    <t>18:02:02</t>
  </si>
  <si>
    <t>18:09:52</t>
  </si>
  <si>
    <t>18:13:18</t>
  </si>
  <si>
    <t>Wachttijd bij snackcorner</t>
  </si>
  <si>
    <t>Incident: geen dienst</t>
  </si>
  <si>
    <t>Oververhitting</t>
  </si>
  <si>
    <t>OK</t>
  </si>
  <si>
    <t>Onderhoud nodig</t>
  </si>
  <si>
    <t>Sensorfout</t>
  </si>
  <si>
    <t>Schoon</t>
  </si>
  <si>
    <t>Vervuild</t>
  </si>
  <si>
    <t>Noodzaak inspectie</t>
  </si>
  <si>
    <t>Python</t>
  </si>
  <si>
    <t>Panda World</t>
  </si>
  <si>
    <t>Het Circus</t>
  </si>
  <si>
    <t>1. datum</t>
  </si>
  <si>
    <t>De datum waarop de rit heeft plaatsgevonden.</t>
  </si>
  <si>
    <t>2. rit_nummer</t>
  </si>
  <si>
    <t>Het volgnummer van de rit op die dag (bijv. rit 1, rit 2, ...).</t>
  </si>
  <si>
    <t>3. halte_nummer</t>
  </si>
  <si>
    <t>Het nummer van de halte binnen een rit (volgorde van de stops).</t>
  </si>
  <si>
    <t>4. attractie_naam</t>
  </si>
  <si>
    <t>De naam van de attractie waar de halte zich bevindt.</t>
  </si>
  <si>
    <t>5. geplande_aankomsttijd</t>
  </si>
  <si>
    <t>Het tijdstip waarop de trein volgens planning zou aankomen bij de halte.</t>
  </si>
  <si>
    <t>6. actuele_aankomsttijd</t>
  </si>
  <si>
    <t>Het werkelijke aankomsttijdstip van de trein.</t>
  </si>
  <si>
    <t>7. instappers</t>
  </si>
  <si>
    <t>Het aantal personen dat op deze halte is ingestapt.</t>
  </si>
  <si>
    <t>8. uitstappers</t>
  </si>
  <si>
    <t>Het aantal personen dat op deze halte is uitgestapt.</t>
  </si>
  <si>
    <t>9. aantal_passagiers</t>
  </si>
  <si>
    <t>Het totaal aantal passagiers in de trein na deze halte.</t>
  </si>
  <si>
    <t>10. incident</t>
  </si>
  <si>
    <t>Boolean (waar/niet waar): geeft aan of er een incident heeft plaatsgevonden bij deze halte.</t>
  </si>
  <si>
    <t>11. opmerking</t>
  </si>
  <si>
    <t>Eventuele extra informatie of opmerkingen bij deze halte.</t>
  </si>
  <si>
    <t>12. medewerker_id</t>
  </si>
  <si>
    <t>ID van de medewerker die verantwoordelijk was voor deze rit.</t>
  </si>
  <si>
    <t>13. gemiddelde_waardering_rit</t>
  </si>
  <si>
    <t>Gemiddelde waardering (bijv. klanttevredenheid) die aan de rit is toegekend.</t>
  </si>
  <si>
    <t>14. technische_status_trein</t>
  </si>
  <si>
    <t>Status van de trein op dat moment, bijv. ‘OK’, ‘Oververhitting’, etc.</t>
  </si>
  <si>
    <t>15. temperatuur_motor</t>
  </si>
  <si>
    <t>Gemeten motortemperatuur in graden Celsius.</t>
  </si>
  <si>
    <t>16. energieverbruik_rit</t>
  </si>
  <si>
    <t>Energieverbruik van de trein tijdens deze rit, in eenheden (bijv. kWh).</t>
  </si>
  <si>
    <t>17. schoonmaakstatus_wagon</t>
  </si>
  <si>
    <t>Status van de wagon (bijv. ‘Schoon’, ‘Vervuild’).</t>
  </si>
  <si>
    <t>Voorbeeld</t>
  </si>
  <si>
    <t>Scholier</t>
  </si>
  <si>
    <t>vak</t>
  </si>
  <si>
    <t>cijfer</t>
  </si>
  <si>
    <t>Statistiek</t>
  </si>
  <si>
    <t>Formule</t>
  </si>
  <si>
    <t>Uitkomst</t>
  </si>
  <si>
    <t>Nederlands</t>
  </si>
  <si>
    <t>Gemiddelde cijfer</t>
  </si>
  <si>
    <t>=GEMIDDELDE(C4:C20)</t>
  </si>
  <si>
    <t>Wiskunde A</t>
  </si>
  <si>
    <t>Modus scholier</t>
  </si>
  <si>
    <t>=MODUS.ENKELV(A4:A20)</t>
  </si>
  <si>
    <t>Economie</t>
  </si>
  <si>
    <t>SD cijfer</t>
  </si>
  <si>
    <t>=STDEV.P(A4:A20)</t>
  </si>
  <si>
    <t>Mediaan cijfer</t>
  </si>
  <si>
    <t>=MEDIAAN(A4:A20)</t>
  </si>
  <si>
    <t>Spreidingsbreedte</t>
  </si>
  <si>
    <t>=MAX(C4:C20)-MIN(C4:C20)</t>
  </si>
  <si>
    <t>Duits</t>
  </si>
  <si>
    <t>Aantal cijfers</t>
  </si>
  <si>
    <t>=AANTAL(C4:C20)</t>
  </si>
  <si>
    <t>Engels</t>
  </si>
  <si>
    <t>Afronden (getal pi) op 2 decimalen</t>
  </si>
  <si>
    <t>=AFRONDEN(3,141592653;2)</t>
  </si>
  <si>
    <t>Kolombeschrijvingen logboek</t>
  </si>
  <si>
    <t>Nee</t>
  </si>
  <si>
    <t>KPI-story</t>
  </si>
  <si>
    <t>Welke kolommen uit het Logboek wil je gebruiken voor de berekening van jouw gestelcteerde KPI? Noteer de kolommen en geef per kolom aan waarom de kolom nuttig is.</t>
  </si>
  <si>
    <t xml:space="preserve">Kolom </t>
  </si>
  <si>
    <t>Reden</t>
  </si>
  <si>
    <t xml:space="preserve">Voorbeeld. Ik gebruik de kolom temperatuur_motor om te kunnen berekenen in hoeverre de motor oververhit raakt tijdens een rit. Dit gebuik ik om de prestaties van de motor te meten </t>
  </si>
  <si>
    <t>Nummer</t>
  </si>
  <si>
    <t>Waardering rit</t>
  </si>
  <si>
    <t>Wachttijd/vertraging bezoeker</t>
  </si>
  <si>
    <t>Beschikbaarheid trein</t>
  </si>
  <si>
    <t>Snelheid route (in minuten)</t>
  </si>
  <si>
    <t>Veiligheid (incidentreductie)</t>
  </si>
  <si>
    <t>Bezettingsgraad trein</t>
  </si>
  <si>
    <t>Welke KPI heb jij geselecteerd? Geef dit met "Ja" aan</t>
  </si>
  <si>
    <t>Centrummaat</t>
  </si>
  <si>
    <t>Alle machinisten</t>
  </si>
  <si>
    <t>Groep/medewerker</t>
  </si>
  <si>
    <t>Medewerker 33</t>
  </si>
  <si>
    <t>Medewerker 34</t>
  </si>
  <si>
    <t>Medewerker 35</t>
  </si>
  <si>
    <t>Medewerker 36</t>
  </si>
  <si>
    <t>Gemiddelde</t>
  </si>
  <si>
    <t>Voorbeeldberekening voor motor_temperatuur voor alle medewerkers</t>
  </si>
  <si>
    <t>Geef aan welke centrummaat je wilt gebruiken om de prestaties voor de gehele groep / per medewerker inzichtelijk te maken. Bereken met een excel-formule de prestaties.</t>
  </si>
  <si>
    <t>Advies:</t>
  </si>
  <si>
    <t>9.6</t>
  </si>
  <si>
    <t>9.5</t>
  </si>
  <si>
    <t>9.3</t>
  </si>
  <si>
    <t>9.8</t>
  </si>
  <si>
    <t>9.7</t>
  </si>
  <si>
    <t>9.2</t>
  </si>
  <si>
    <t>9.4</t>
  </si>
  <si>
    <t>8.5</t>
  </si>
  <si>
    <t>8.4</t>
  </si>
  <si>
    <t>8.6</t>
  </si>
  <si>
    <t>8.2</t>
  </si>
  <si>
    <t>8.3</t>
  </si>
  <si>
    <t>8.8</t>
  </si>
  <si>
    <t>9.1</t>
  </si>
  <si>
    <t>7.6</t>
  </si>
  <si>
    <t>7.4</t>
  </si>
  <si>
    <t>7.5</t>
  </si>
  <si>
    <t>9.9</t>
  </si>
  <si>
    <t>5.1</t>
  </si>
  <si>
    <t>5.3</t>
  </si>
  <si>
    <t>5.4</t>
  </si>
  <si>
    <t>5.2</t>
  </si>
  <si>
    <t>8.9</t>
  </si>
  <si>
    <t>8.1</t>
  </si>
  <si>
    <t>7.3</t>
  </si>
  <si>
    <t>8.7</t>
  </si>
  <si>
    <t>4.6</t>
  </si>
  <si>
    <t>7.9</t>
  </si>
  <si>
    <t>FALSE</t>
  </si>
  <si>
    <t>TRUE</t>
  </si>
  <si>
    <t>HANDMATIG INGEVOERD!!1!</t>
  </si>
  <si>
    <t>HANDMATIG INGEVOERD!!1! EN WEER DIE LANGZAME BEZOEKERS BIJ DE SNACKCORNER</t>
  </si>
  <si>
    <t>1,5 minuut later dan gepland</t>
  </si>
  <si>
    <t>30 seconden later</t>
  </si>
  <si>
    <t>op tijd</t>
  </si>
  <si>
    <t>10 seconden sneller</t>
  </si>
  <si>
    <t>idem</t>
  </si>
  <si>
    <t>5 sec sneller</t>
  </si>
  <si>
    <t>5 sec langzamer</t>
  </si>
  <si>
    <t>1 sec sneller L)</t>
  </si>
  <si>
    <t>27 sec lngzamer</t>
  </si>
  <si>
    <t>37 sec sneller</t>
  </si>
  <si>
    <t>minuut sneller</t>
  </si>
  <si>
    <t>1 min 17 langzamer</t>
  </si>
  <si>
    <t>17 sec sneller</t>
  </si>
  <si>
    <t>1 minuut 11 sneller</t>
  </si>
  <si>
    <t>6 minuten langzamer door oponthoud</t>
  </si>
  <si>
    <t>3 minuut 4 langzamer</t>
  </si>
  <si>
    <t>4 minuten langzamer</t>
  </si>
  <si>
    <t>6 minuten 8 seconden langzamer, sorry weer</t>
  </si>
  <si>
    <t>4 mensen</t>
  </si>
  <si>
    <t>2 mensen</t>
  </si>
  <si>
    <t>1 mens</t>
  </si>
  <si>
    <t>eentje</t>
  </si>
  <si>
    <t>vier</t>
  </si>
  <si>
    <t>een</t>
  </si>
  <si>
    <t>drie</t>
  </si>
  <si>
    <t>nul</t>
  </si>
  <si>
    <t>tel kwijt, iets van 4</t>
  </si>
  <si>
    <t>Aandachtspunt</t>
  </si>
  <si>
    <t>Eerste rit is abusievelijk in Fahrenheit gemeten, dient omgezet te worden in celcius voor berekeningen</t>
  </si>
  <si>
    <t>AFRONDEN(GEMIDDELDE(Logboek!O:O);1) &amp; "C graden"</t>
  </si>
  <si>
    <t>Uitkomst berekening</t>
  </si>
  <si>
    <t>73,8C graden</t>
  </si>
  <si>
    <t>Evalueer of je analyse voldoende relevante inzichten oplevert en wat je nog mist. Geef advies aan het management.</t>
  </si>
  <si>
    <t>Tijdens het maken van deze opdracht heb ik &lt;&lt;naam tool&gt;&gt; gebruikt om te &lt;&lt;activiteit&gt;&gt;. Na het gebruik van deze tool heb ik de uitkomsten ervan uitvoerig gecontroleerd en aangepast om er voor te zorgen dat het ingeleverde werk mijn eigen competenties en leeruitkomsten reflecteert. Ik draag de volledige verantwoordelijkheid voor de inhoud van dit werk.</t>
  </si>
  <si>
    <t>Mocht je geen gebruik hebben gemaakt van AI, verwijder dan de verklaring.</t>
  </si>
  <si>
    <t>Reuzenrad</t>
  </si>
  <si>
    <t>Achtbaan</t>
  </si>
  <si>
    <t>Vrijevaltoren</t>
  </si>
  <si>
    <t>Wildwaterbaan</t>
  </si>
  <si>
    <t>Arcadehal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</si>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</sst>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font>
      <sz val="11"/>
      <color theme="1"/>
      <name val="Calibri"/>
      <family val="2"/>
      <scheme val="minor"/>
    </font>
    <font>
      <b/>
      <sz val="11"/>
      <color theme="1"/>
      <name val="Calibri"/>
      <family val="2"/>
      <scheme val="minor"/>
    </font>
    <font>
      <b/>
      <sz val="11"/>
      <color theme="0"/>
      <name val="Calibri"/>
      <family val="2"/>
      <scheme val="minor"/>
    </font>
    <font>
      <b/>
      <sz val="13.5"/>
      <color theme="1"/>
      <name val="Calibri"/>
      <family val="2"/>
      <scheme val="minor"/>
    </font>
    <font>
      <b/>
      <sz val="10"/>
      <color theme="1"/>
      <name val="Arial Unicode MS"/>
    </font>
    <font>
      <sz val="12"/>
      <color theme="1"/>
      <name val="Aptos"/>
      <family val="2"/>
    </font>
    <font>
      <i/>
      <sz val="12"/>
      <color theme="1"/>
      <name val="Aptos"/>
      <family val="2"/>
    </font>
    <font>
      <i/>
      <sz val="11"/>
      <color theme="1"/>
      <name val="Calibri"/>
      <family val="2"/>
      <scheme val="minor"/>
    </font>
    <font>
      <b/>
      <sz val="14"/>
      <color theme="1"/>
      <name val="Calibri"/>
      <family val="2"/>
      <scheme val="minor"/>
    </font>
    <font>
      <b/>
      <sz val="12"/>
      <color theme="0"/>
      <name val="Aptos"/>
      <family val="2"/>
    </font>
    <font>
      <sz val="12"/>
      <name val="Aptos"/>
      <family val="2"/>
    </font>
    <font>
      <sz val="11"/>
      <name val="Calibri"/>
      <family val="2"/>
      <scheme val="minor"/>
    </font>
    <font>
      <sz val="11"/>
      <color rgb="FFEE0000"/>
      <name val="Calibri"/>
      <family val="2"/>
      <scheme val="minor"/>
    </font>
    <font>
      <sz val="12"/>
      <color theme="1"/>
      <name val="Roboto"/>
    </font>
  </fonts>
  <fills count="8">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style="medium">
        <color indexed="64"/>
      </right>
      <top style="medium">
        <color indexed="64"/>
      </top>
      <bottom style="medium">
        <color indexed="64"/>
      </bottom>
      <diagonal/>
    </border>
    <border>
      <left style="thin">
        <color auto="1"/>
      </left>
      <right style="thin">
        <color auto="1"/>
      </right>
      <top/>
      <bottom/>
      <diagonal/>
    </border>
    <border>
      <left style="medium">
        <color indexed="64"/>
      </left>
      <right/>
      <top/>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1" fillId="0" borderId="0" xfId="0" applyFont="1"/>
    <xf numFmtId="0" fontId="2" fillId="2" borderId="0" xfId="0" applyFont="1" applyFill="1"/>
    <xf numFmtId="0" fontId="0" fillId="3" borderId="2" xfId="0" applyFill="1" applyBorder="1"/>
    <xf numFmtId="0" fontId="0" fillId="4" borderId="2" xfId="0" applyFill="1" applyBorder="1"/>
    <xf numFmtId="0" fontId="0" fillId="5" borderId="2" xfId="0" applyFill="1" applyBorder="1"/>
    <xf numFmtId="0" fontId="0" fillId="0" borderId="0" xfId="0" quotePrefix="1"/>
    <xf numFmtId="0" fontId="0" fillId="0" borderId="1" xfId="0" applyBorder="1"/>
    <xf numFmtId="0" fontId="5" fillId="0" borderId="0" xfId="0" applyFont="1" applyAlignment="1">
      <alignment vertical="center"/>
    </xf>
    <xf numFmtId="0" fontId="6" fillId="0" borderId="0" xfId="0" applyFont="1" applyAlignment="1">
      <alignment vertical="center"/>
    </xf>
    <xf numFmtId="0" fontId="8" fillId="0" borderId="0" xfId="0" applyFont="1"/>
    <xf numFmtId="0" fontId="0" fillId="5" borderId="1" xfId="0" applyFill="1" applyBorder="1" applyAlignment="1">
      <alignment wrapText="1"/>
    </xf>
    <xf numFmtId="0" fontId="9" fillId="7" borderId="1" xfId="0" applyFont="1" applyFill="1" applyBorder="1" applyAlignment="1">
      <alignment vertical="center"/>
    </xf>
    <xf numFmtId="0" fontId="9" fillId="7" borderId="0" xfId="0" applyFont="1" applyFill="1" applyAlignment="1">
      <alignment vertical="center"/>
    </xf>
    <xf numFmtId="0" fontId="0" fillId="0" borderId="3" xfId="0" applyBorder="1"/>
    <xf numFmtId="0" fontId="5" fillId="0" borderId="1" xfId="0" applyFont="1" applyBorder="1" applyAlignment="1">
      <alignment vertical="center"/>
    </xf>
    <xf numFmtId="0" fontId="7" fillId="0" borderId="0" xfId="0" applyFont="1"/>
    <xf numFmtId="0" fontId="6" fillId="6" borderId="1" xfId="0" applyFont="1" applyFill="1" applyBorder="1" applyAlignment="1">
      <alignment vertical="center"/>
    </xf>
    <xf numFmtId="0" fontId="10" fillId="5" borderId="1" xfId="0" applyFont="1" applyFill="1" applyBorder="1" applyAlignment="1">
      <alignment vertical="center"/>
    </xf>
    <xf numFmtId="0" fontId="6" fillId="6" borderId="1" xfId="0" applyFont="1" applyFill="1" applyBorder="1" applyAlignment="1">
      <alignment vertical="center" wrapText="1"/>
    </xf>
    <xf numFmtId="0" fontId="11" fillId="5" borderId="1" xfId="0" applyFont="1" applyFill="1" applyBorder="1" applyAlignment="1">
      <alignment vertical="top" wrapText="1"/>
    </xf>
    <xf numFmtId="0" fontId="12" fillId="0" borderId="0" xfId="0" applyFont="1"/>
    <xf numFmtId="0" fontId="9" fillId="7" borderId="4" xfId="0" applyFont="1" applyFill="1" applyBorder="1" applyAlignment="1">
      <alignment vertical="center"/>
    </xf>
    <xf numFmtId="3" fontId="0" fillId="0" borderId="0" xfId="0" applyNumberFormat="1"/>
    <xf numFmtId="0" fontId="13" fillId="0" borderId="5" xfId="0" applyFont="1" applyBorder="1" applyAlignment="1">
      <alignment vertical="center" wrapText="1"/>
    </xf>
    <xf numFmtId="0" fontId="13" fillId="0" borderId="0" xfId="0" applyFont="1" applyAlignment="1">
      <alignment vertical="center" wrapText="1"/>
    </xf>
  </cellXfs>
  <cellStyles count="1">
    <cellStyle name="Standaard" xfId="0" builtinId="0"/>
  </cellStyles>
  <dxfs count="2">
    <dxf>
      <fill>
        <patternFill>
          <bgColor theme="4" tint="0.79998168889431442"/>
        </patternFill>
      </fill>
    </dxf>
    <dxf>
      <fill>
        <patternFill>
          <bgColor theme="6"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387F-60DC-4720-9EAD-B32AE27007FA}">
  <sheetPr>
    <tabColor theme="9" tint="0.79998168889431442"/>
  </sheetPr>
  <dimension ref="A1:H20"/>
  <sheetViews>
    <sheetView workbookViewId="0">
      <selection activeCell="G16" sqref="G16"/>
    </sheetView>
  </sheetViews>
  <sheetFormatPr defaultRowHeight="14.25"/>
  <cols>
    <col min="2" max="2" width="10.1328125" bestFit="1" customWidth="1"/>
    <col min="6" max="6" width="28.3984375" bestFit="1" customWidth="1"/>
    <col min="7" max="7" width="33.3984375" bestFit="1" customWidth="1"/>
  </cols>
  <sheetData>
    <row r="1" spans="1:8">
      <c r="A1" s="6" t="s">
        <v>1150</v>
      </c>
    </row>
    <row r="3" spans="1:8">
      <c r="A3" s="7" t="s">
        <v>1151</v>
      </c>
      <c r="B3" s="7" t="s">
        <v>1152</v>
      </c>
      <c r="C3" s="7" t="s">
        <v>1153</v>
      </c>
      <c r="D3" s="6"/>
      <c r="E3" s="6"/>
      <c r="F3" s="6" t="s">
        <v>1154</v>
      </c>
      <c r="G3" s="6" t="s">
        <v>1155</v>
      </c>
      <c r="H3" s="6" t="s">
        <v>1156</v>
      </c>
    </row>
    <row r="4" spans="1:8">
      <c r="A4" s="8">
        <v>10011</v>
      </c>
      <c r="B4" s="9" t="s">
        <v>1157</v>
      </c>
      <c r="C4" s="10">
        <v>5</v>
      </c>
      <c r="F4" t="s">
        <v>1158</v>
      </c>
      <c r="G4" s="11" t="s">
        <v>1159</v>
      </c>
      <c r="H4">
        <f>AVERAGE(C4:C20)</f>
        <v>7.1428571428571432</v>
      </c>
    </row>
    <row r="5" spans="1:8">
      <c r="A5" s="8">
        <v>10011</v>
      </c>
      <c r="B5" s="9" t="s">
        <v>1160</v>
      </c>
      <c r="C5" s="10">
        <v>6</v>
      </c>
      <c r="F5" t="s">
        <v>1161</v>
      </c>
      <c r="G5" s="11" t="s">
        <v>1162</v>
      </c>
      <c r="H5">
        <f>_xlfn.MODE.SNGL(A4:A20)</f>
        <v>10011</v>
      </c>
    </row>
    <row r="6" spans="1:8">
      <c r="A6" s="8">
        <v>10011</v>
      </c>
      <c r="B6" s="9" t="s">
        <v>1163</v>
      </c>
      <c r="C6" s="10">
        <v>8</v>
      </c>
      <c r="F6" t="s">
        <v>1164</v>
      </c>
      <c r="G6" s="11" t="s">
        <v>1165</v>
      </c>
      <c r="H6">
        <f>_xlfn.STDEV.P(C4:C20)</f>
        <v>2.0303814862216991</v>
      </c>
    </row>
    <row r="7" spans="1:8">
      <c r="A7" s="8">
        <v>10012</v>
      </c>
      <c r="B7" s="9" t="s">
        <v>1157</v>
      </c>
      <c r="C7" s="10">
        <v>10</v>
      </c>
      <c r="F7" t="s">
        <v>1166</v>
      </c>
      <c r="G7" s="11" t="s">
        <v>1167</v>
      </c>
      <c r="H7">
        <f>MEDIAN(C4:C20)</f>
        <v>6</v>
      </c>
    </row>
    <row r="8" spans="1:8">
      <c r="A8" s="8">
        <v>10012</v>
      </c>
      <c r="B8" s="9" t="s">
        <v>1160</v>
      </c>
      <c r="C8" s="10">
        <v>5</v>
      </c>
      <c r="F8" t="s">
        <v>1168</v>
      </c>
      <c r="G8" s="11" t="s">
        <v>1169</v>
      </c>
      <c r="H8">
        <f>MAX(C4:C20)-MIN(C4:C20)</f>
        <v>5</v>
      </c>
    </row>
    <row r="9" spans="1:8">
      <c r="A9" s="8">
        <v>10012</v>
      </c>
      <c r="B9" s="9" t="s">
        <v>1170</v>
      </c>
      <c r="C9" s="10">
        <v>6</v>
      </c>
      <c r="F9" t="s">
        <v>1171</v>
      </c>
      <c r="G9" s="11" t="s">
        <v>1172</v>
      </c>
      <c r="H9">
        <f>COUNT(C4:C20)</f>
        <v>7</v>
      </c>
    </row>
    <row r="10" spans="1:8">
      <c r="A10" s="8">
        <v>10014</v>
      </c>
      <c r="B10" s="9" t="s">
        <v>1173</v>
      </c>
      <c r="C10" s="10">
        <v>10</v>
      </c>
      <c r="F10" t="s">
        <v>1174</v>
      </c>
      <c r="G10" s="11" t="s">
        <v>1175</v>
      </c>
      <c r="H10">
        <f>ROUND(3.1415,2)</f>
        <v>3.14</v>
      </c>
    </row>
    <row r="11" spans="1:8">
      <c r="A11" s="8"/>
      <c r="B11" s="9"/>
      <c r="C11" s="10"/>
    </row>
    <row r="12" spans="1:8">
      <c r="A12" s="8"/>
      <c r="B12" s="9"/>
      <c r="C12" s="10"/>
    </row>
    <row r="13" spans="1:8">
      <c r="A13" s="8"/>
      <c r="B13" s="9"/>
      <c r="C13" s="10"/>
    </row>
    <row r="14" spans="1:8">
      <c r="A14" s="8"/>
      <c r="B14" s="9"/>
      <c r="C14" s="10"/>
    </row>
    <row r="15" spans="1:8">
      <c r="A15" s="8"/>
      <c r="B15" s="9"/>
      <c r="C15" s="10"/>
    </row>
    <row r="16" spans="1:8">
      <c r="A16" s="8"/>
      <c r="B16" s="9"/>
      <c r="C16" s="10"/>
    </row>
    <row r="17" spans="1:3">
      <c r="A17" s="8"/>
      <c r="B17" s="9"/>
      <c r="C17" s="10"/>
    </row>
    <row r="18" spans="1:3">
      <c r="A18" s="8"/>
      <c r="B18" s="9"/>
      <c r="C18" s="10"/>
    </row>
    <row r="19" spans="1:3">
      <c r="A19" s="8"/>
      <c r="B19" s="9"/>
      <c r="C19" s="10"/>
    </row>
    <row r="20" spans="1:3">
      <c r="A20" s="8"/>
      <c r="B20" s="9"/>
      <c r="C2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61FD-F1E1-4C59-80D3-1DB1F2D6936A}">
  <dimension ref="A1:A52"/>
  <sheetViews>
    <sheetView tabSelected="1" topLeftCell="A9" workbookViewId="0"/>
  </sheetViews>
  <sheetFormatPr defaultRowHeight="14.25"/>
  <sheetData>
    <row r="1" spans="1:1" ht="17.649999999999999">
      <c r="A1" s="3" t="s">
        <v>1176</v>
      </c>
    </row>
    <row r="2" spans="1:1">
      <c r="A2" s="4"/>
    </row>
    <row r="3" spans="1:1">
      <c r="A3" s="5" t="s">
        <v>1116</v>
      </c>
    </row>
    <row r="4" spans="1:1">
      <c r="A4" s="4" t="s">
        <v>1117</v>
      </c>
    </row>
    <row r="5" spans="1:1">
      <c r="A5" s="4"/>
    </row>
    <row r="6" spans="1:1">
      <c r="A6" s="5" t="s">
        <v>1118</v>
      </c>
    </row>
    <row r="7" spans="1:1">
      <c r="A7" s="4" t="s">
        <v>1119</v>
      </c>
    </row>
    <row r="8" spans="1:1">
      <c r="A8" s="4"/>
    </row>
    <row r="9" spans="1:1">
      <c r="A9" s="5" t="s">
        <v>1120</v>
      </c>
    </row>
    <row r="10" spans="1:1">
      <c r="A10" s="4" t="s">
        <v>1121</v>
      </c>
    </row>
    <row r="11" spans="1:1">
      <c r="A11" s="4"/>
    </row>
    <row r="12" spans="1:1">
      <c r="A12" s="5" t="s">
        <v>1122</v>
      </c>
    </row>
    <row r="13" spans="1:1">
      <c r="A13" s="4" t="s">
        <v>1123</v>
      </c>
    </row>
    <row r="14" spans="1:1">
      <c r="A14" s="4"/>
    </row>
    <row r="15" spans="1:1">
      <c r="A15" s="5" t="s">
        <v>1124</v>
      </c>
    </row>
    <row r="16" spans="1:1">
      <c r="A16" s="4" t="s">
        <v>1125</v>
      </c>
    </row>
    <row r="17" spans="1:1">
      <c r="A17" s="4"/>
    </row>
    <row r="18" spans="1:1">
      <c r="A18" s="5" t="s">
        <v>1126</v>
      </c>
    </row>
    <row r="19" spans="1:1">
      <c r="A19" s="4" t="s">
        <v>1127</v>
      </c>
    </row>
    <row r="20" spans="1:1">
      <c r="A20" s="4"/>
    </row>
    <row r="21" spans="1:1">
      <c r="A21" s="5" t="s">
        <v>1128</v>
      </c>
    </row>
    <row r="22" spans="1:1">
      <c r="A22" s="4" t="s">
        <v>1129</v>
      </c>
    </row>
    <row r="23" spans="1:1">
      <c r="A23" s="4"/>
    </row>
    <row r="24" spans="1:1">
      <c r="A24" s="5" t="s">
        <v>1130</v>
      </c>
    </row>
    <row r="25" spans="1:1">
      <c r="A25" s="4" t="s">
        <v>1131</v>
      </c>
    </row>
    <row r="26" spans="1:1">
      <c r="A26" s="4"/>
    </row>
    <row r="27" spans="1:1">
      <c r="A27" s="5" t="s">
        <v>1132</v>
      </c>
    </row>
    <row r="28" spans="1:1">
      <c r="A28" s="4" t="s">
        <v>1133</v>
      </c>
    </row>
    <row r="29" spans="1:1">
      <c r="A29" s="4"/>
    </row>
    <row r="30" spans="1:1">
      <c r="A30" s="5" t="s">
        <v>1134</v>
      </c>
    </row>
    <row r="31" spans="1:1">
      <c r="A31" s="4" t="s">
        <v>1135</v>
      </c>
    </row>
    <row r="32" spans="1:1">
      <c r="A32" s="4"/>
    </row>
    <row r="33" spans="1:1">
      <c r="A33" s="5" t="s">
        <v>1136</v>
      </c>
    </row>
    <row r="34" spans="1:1">
      <c r="A34" s="4" t="s">
        <v>1137</v>
      </c>
    </row>
    <row r="35" spans="1:1">
      <c r="A35" s="4"/>
    </row>
    <row r="36" spans="1:1">
      <c r="A36" s="5" t="s">
        <v>1138</v>
      </c>
    </row>
    <row r="37" spans="1:1">
      <c r="A37" s="4" t="s">
        <v>1139</v>
      </c>
    </row>
    <row r="38" spans="1:1">
      <c r="A38" s="4"/>
    </row>
    <row r="39" spans="1:1">
      <c r="A39" s="5" t="s">
        <v>1140</v>
      </c>
    </row>
    <row r="40" spans="1:1">
      <c r="A40" s="4" t="s">
        <v>1141</v>
      </c>
    </row>
    <row r="41" spans="1:1">
      <c r="A41" s="4"/>
    </row>
    <row r="42" spans="1:1">
      <c r="A42" s="5" t="s">
        <v>1142</v>
      </c>
    </row>
    <row r="43" spans="1:1">
      <c r="A43" s="4" t="s">
        <v>1143</v>
      </c>
    </row>
    <row r="44" spans="1:1">
      <c r="A44" s="4"/>
    </row>
    <row r="45" spans="1:1">
      <c r="A45" s="5" t="s">
        <v>1144</v>
      </c>
    </row>
    <row r="46" spans="1:1">
      <c r="A46" s="4" t="s">
        <v>1145</v>
      </c>
    </row>
    <row r="47" spans="1:1">
      <c r="A47" s="4"/>
    </row>
    <row r="48" spans="1:1">
      <c r="A48" s="5" t="s">
        <v>1146</v>
      </c>
    </row>
    <row r="49" spans="1:1">
      <c r="A49" s="4" t="s">
        <v>1147</v>
      </c>
    </row>
    <row r="50" spans="1:1">
      <c r="A50" s="4"/>
    </row>
    <row r="51" spans="1:1">
      <c r="A51" s="5" t="s">
        <v>1148</v>
      </c>
    </row>
    <row r="52" spans="1:1">
      <c r="A52" s="4" t="s">
        <v>1149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21"/>
  <sheetViews>
    <sheetView workbookViewId="0">
      <selection activeCell="D17" sqref="D17"/>
    </sheetView>
  </sheetViews>
  <sheetFormatPr defaultRowHeight="14.25"/>
  <cols>
    <col min="1" max="1" width="10.1328125" bestFit="1" customWidth="1"/>
    <col min="4" max="4" width="15.3984375" bestFit="1" customWidth="1"/>
    <col min="15" max="15" width="22.59765625" bestFit="1" customWidth="1"/>
    <col min="22" max="22" width="20.73046875" bestFit="1" customWidth="1"/>
    <col min="23" max="23" width="10.13281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22">
      <c r="A2" s="2">
        <v>45880</v>
      </c>
      <c r="B2">
        <v>1</v>
      </c>
      <c r="C2">
        <v>1</v>
      </c>
      <c r="D2" t="s">
        <v>17</v>
      </c>
      <c r="E2" t="s">
        <v>29</v>
      </c>
      <c r="F2" t="s">
        <v>29</v>
      </c>
      <c r="G2">
        <v>0</v>
      </c>
      <c r="H2">
        <v>0</v>
      </c>
      <c r="I2">
        <v>0</v>
      </c>
      <c r="J2" t="b">
        <v>0</v>
      </c>
      <c r="L2">
        <v>33</v>
      </c>
      <c r="N2" t="s">
        <v>1106</v>
      </c>
      <c r="O2">
        <v>175.1</v>
      </c>
      <c r="P2">
        <v>6.06</v>
      </c>
      <c r="Q2" t="s">
        <v>1110</v>
      </c>
    </row>
    <row r="3" spans="1:22">
      <c r="A3" s="2">
        <v>45880</v>
      </c>
      <c r="B3">
        <v>1</v>
      </c>
      <c r="C3">
        <v>2</v>
      </c>
      <c r="D3" t="s">
        <v>1269</v>
      </c>
      <c r="E3" t="s">
        <v>30</v>
      </c>
      <c r="F3" t="s">
        <v>189</v>
      </c>
      <c r="G3">
        <v>1</v>
      </c>
      <c r="H3">
        <v>0</v>
      </c>
      <c r="I3">
        <v>1</v>
      </c>
      <c r="J3" t="b">
        <v>0</v>
      </c>
      <c r="L3">
        <v>33</v>
      </c>
      <c r="N3" t="s">
        <v>1107</v>
      </c>
      <c r="O3">
        <v>163.22</v>
      </c>
      <c r="P3">
        <v>7.21</v>
      </c>
      <c r="Q3" t="s">
        <v>1110</v>
      </c>
    </row>
    <row r="4" spans="1:22">
      <c r="A4" s="2">
        <v>45880</v>
      </c>
      <c r="B4">
        <v>1</v>
      </c>
      <c r="C4">
        <v>3</v>
      </c>
      <c r="D4" t="s">
        <v>18</v>
      </c>
      <c r="E4" t="s">
        <v>31</v>
      </c>
      <c r="F4" t="s">
        <v>190</v>
      </c>
      <c r="G4">
        <v>5</v>
      </c>
      <c r="H4">
        <v>0</v>
      </c>
      <c r="I4">
        <v>6</v>
      </c>
      <c r="J4" t="b">
        <v>0</v>
      </c>
      <c r="L4">
        <v>33</v>
      </c>
      <c r="N4" t="s">
        <v>1107</v>
      </c>
      <c r="O4">
        <v>152.78</v>
      </c>
      <c r="P4">
        <v>7.49</v>
      </c>
      <c r="Q4" t="s">
        <v>1111</v>
      </c>
    </row>
    <row r="5" spans="1:22">
      <c r="A5" s="2">
        <v>45880</v>
      </c>
      <c r="B5">
        <v>1</v>
      </c>
      <c r="C5">
        <v>4</v>
      </c>
      <c r="D5" t="s">
        <v>19</v>
      </c>
      <c r="E5" t="s">
        <v>32</v>
      </c>
      <c r="F5" t="s">
        <v>191</v>
      </c>
      <c r="G5">
        <v>0</v>
      </c>
      <c r="H5">
        <v>4</v>
      </c>
      <c r="I5">
        <v>2</v>
      </c>
      <c r="J5" t="b">
        <v>0</v>
      </c>
      <c r="L5">
        <v>33</v>
      </c>
      <c r="M5">
        <v>10</v>
      </c>
      <c r="N5" t="s">
        <v>1107</v>
      </c>
      <c r="O5">
        <v>183.38</v>
      </c>
      <c r="P5">
        <v>5.83</v>
      </c>
      <c r="Q5" t="s">
        <v>1110</v>
      </c>
    </row>
    <row r="6" spans="1:22">
      <c r="A6" s="2">
        <v>45880</v>
      </c>
      <c r="B6">
        <v>1</v>
      </c>
      <c r="C6">
        <v>5</v>
      </c>
      <c r="D6" t="s">
        <v>1115</v>
      </c>
      <c r="E6" t="s">
        <v>33</v>
      </c>
      <c r="F6" t="s">
        <v>192</v>
      </c>
      <c r="G6">
        <v>0</v>
      </c>
      <c r="H6">
        <v>0</v>
      </c>
      <c r="I6">
        <v>2</v>
      </c>
      <c r="J6" t="b">
        <v>0</v>
      </c>
      <c r="L6">
        <v>33</v>
      </c>
      <c r="N6" t="s">
        <v>1107</v>
      </c>
      <c r="O6" s="28">
        <v>181.76</v>
      </c>
      <c r="P6">
        <v>6.72</v>
      </c>
      <c r="Q6" t="s">
        <v>1110</v>
      </c>
    </row>
    <row r="7" spans="1:22">
      <c r="A7" s="2">
        <v>45880</v>
      </c>
      <c r="B7">
        <v>1</v>
      </c>
      <c r="C7">
        <v>6</v>
      </c>
      <c r="D7" t="s">
        <v>1270</v>
      </c>
      <c r="E7" t="s">
        <v>34</v>
      </c>
      <c r="F7" t="s">
        <v>193</v>
      </c>
      <c r="G7">
        <v>4</v>
      </c>
      <c r="H7">
        <v>0</v>
      </c>
      <c r="I7">
        <v>6</v>
      </c>
      <c r="J7" t="b">
        <v>0</v>
      </c>
      <c r="L7">
        <v>33</v>
      </c>
      <c r="N7" t="s">
        <v>1107</v>
      </c>
      <c r="O7">
        <v>144.86000000000001</v>
      </c>
      <c r="P7">
        <v>5.22</v>
      </c>
      <c r="Q7" t="s">
        <v>1110</v>
      </c>
      <c r="V7" s="28"/>
    </row>
    <row r="8" spans="1:22">
      <c r="A8" s="2">
        <v>45880</v>
      </c>
      <c r="B8">
        <v>1</v>
      </c>
      <c r="C8">
        <v>7</v>
      </c>
      <c r="D8" t="s">
        <v>1114</v>
      </c>
      <c r="E8" t="s">
        <v>35</v>
      </c>
      <c r="F8" t="s">
        <v>194</v>
      </c>
      <c r="G8">
        <v>1</v>
      </c>
      <c r="H8">
        <v>4</v>
      </c>
      <c r="I8">
        <v>3</v>
      </c>
      <c r="J8" t="b">
        <v>0</v>
      </c>
      <c r="L8">
        <v>33</v>
      </c>
      <c r="M8">
        <v>10</v>
      </c>
      <c r="N8" t="s">
        <v>1108</v>
      </c>
      <c r="O8">
        <v>176.18</v>
      </c>
      <c r="P8">
        <v>7.87</v>
      </c>
      <c r="Q8" t="s">
        <v>1111</v>
      </c>
    </row>
    <row r="9" spans="1:22">
      <c r="A9" s="2">
        <v>45880</v>
      </c>
      <c r="B9">
        <v>1</v>
      </c>
      <c r="C9">
        <v>8</v>
      </c>
      <c r="D9" t="s">
        <v>1271</v>
      </c>
      <c r="E9" t="s">
        <v>36</v>
      </c>
      <c r="F9" t="s">
        <v>195</v>
      </c>
      <c r="G9">
        <v>1</v>
      </c>
      <c r="H9">
        <v>3</v>
      </c>
      <c r="I9">
        <v>1</v>
      </c>
      <c r="J9" t="b">
        <v>0</v>
      </c>
      <c r="L9">
        <v>33</v>
      </c>
      <c r="M9">
        <v>9.8000000000000007</v>
      </c>
      <c r="N9" t="s">
        <v>1107</v>
      </c>
      <c r="O9" s="28">
        <v>165.92</v>
      </c>
      <c r="P9">
        <v>7.08</v>
      </c>
      <c r="Q9" t="s">
        <v>1112</v>
      </c>
    </row>
    <row r="10" spans="1:22">
      <c r="A10" s="2">
        <v>45880</v>
      </c>
      <c r="B10">
        <v>1</v>
      </c>
      <c r="C10">
        <v>9</v>
      </c>
      <c r="D10" t="s">
        <v>20</v>
      </c>
      <c r="E10" t="s">
        <v>37</v>
      </c>
      <c r="F10" t="s">
        <v>196</v>
      </c>
      <c r="G10">
        <v>0</v>
      </c>
      <c r="H10">
        <v>1</v>
      </c>
      <c r="I10">
        <v>0</v>
      </c>
      <c r="J10" t="b">
        <v>0</v>
      </c>
      <c r="L10">
        <v>33</v>
      </c>
      <c r="M10">
        <v>10</v>
      </c>
      <c r="N10" t="s">
        <v>1107</v>
      </c>
      <c r="O10">
        <v>174.56</v>
      </c>
      <c r="P10">
        <v>7.27</v>
      </c>
      <c r="Q10" t="s">
        <v>1112</v>
      </c>
      <c r="V10" s="28"/>
    </row>
    <row r="11" spans="1:22">
      <c r="A11" s="2">
        <v>45880</v>
      </c>
      <c r="B11">
        <v>1</v>
      </c>
      <c r="C11">
        <v>10</v>
      </c>
      <c r="D11" t="s">
        <v>1113</v>
      </c>
      <c r="E11" t="s">
        <v>38</v>
      </c>
      <c r="F11" t="s">
        <v>197</v>
      </c>
      <c r="G11">
        <v>5</v>
      </c>
      <c r="H11">
        <v>0</v>
      </c>
      <c r="I11">
        <v>5</v>
      </c>
      <c r="J11" t="b">
        <v>0</v>
      </c>
      <c r="L11">
        <v>33</v>
      </c>
      <c r="N11" t="s">
        <v>1107</v>
      </c>
      <c r="O11">
        <v>160.69999999999999</v>
      </c>
      <c r="P11">
        <v>6.76</v>
      </c>
      <c r="Q11" t="s">
        <v>1110</v>
      </c>
    </row>
    <row r="12" spans="1:22">
      <c r="A12" s="2">
        <v>45880</v>
      </c>
      <c r="B12">
        <v>1</v>
      </c>
      <c r="C12">
        <v>11</v>
      </c>
      <c r="D12" t="s">
        <v>1272</v>
      </c>
      <c r="E12" t="s">
        <v>39</v>
      </c>
      <c r="F12" t="s">
        <v>198</v>
      </c>
      <c r="G12">
        <v>1</v>
      </c>
      <c r="H12">
        <v>2</v>
      </c>
      <c r="I12">
        <v>4</v>
      </c>
      <c r="J12" t="b">
        <v>0</v>
      </c>
      <c r="L12">
        <v>33</v>
      </c>
      <c r="M12">
        <v>10</v>
      </c>
      <c r="N12" t="s">
        <v>1107</v>
      </c>
      <c r="O12">
        <v>143.06</v>
      </c>
      <c r="P12">
        <v>6.9</v>
      </c>
      <c r="Q12" t="s">
        <v>1112</v>
      </c>
    </row>
    <row r="13" spans="1:22">
      <c r="A13" s="2">
        <v>45880</v>
      </c>
      <c r="B13">
        <v>1</v>
      </c>
      <c r="C13">
        <v>12</v>
      </c>
      <c r="D13" t="s">
        <v>21</v>
      </c>
      <c r="E13" t="s">
        <v>40</v>
      </c>
      <c r="F13" t="s">
        <v>199</v>
      </c>
      <c r="G13">
        <v>0</v>
      </c>
      <c r="H13">
        <v>2</v>
      </c>
      <c r="I13">
        <v>2</v>
      </c>
      <c r="J13" t="b">
        <v>0</v>
      </c>
      <c r="L13">
        <v>33</v>
      </c>
      <c r="M13">
        <v>9.6</v>
      </c>
      <c r="N13" t="s">
        <v>1107</v>
      </c>
      <c r="O13" s="28">
        <v>150.26</v>
      </c>
      <c r="P13">
        <v>5.95</v>
      </c>
      <c r="Q13" t="s">
        <v>1112</v>
      </c>
    </row>
    <row r="14" spans="1:22">
      <c r="A14" s="2">
        <v>45880</v>
      </c>
      <c r="B14">
        <v>1</v>
      </c>
      <c r="C14">
        <v>13</v>
      </c>
      <c r="D14" t="s">
        <v>22</v>
      </c>
      <c r="E14" t="s">
        <v>41</v>
      </c>
      <c r="F14" t="s">
        <v>200</v>
      </c>
      <c r="G14">
        <v>2</v>
      </c>
      <c r="H14">
        <v>0</v>
      </c>
      <c r="I14">
        <v>4</v>
      </c>
      <c r="J14" t="b">
        <v>0</v>
      </c>
      <c r="L14">
        <v>33</v>
      </c>
      <c r="N14" t="s">
        <v>1107</v>
      </c>
      <c r="O14">
        <v>140.36000000000001</v>
      </c>
      <c r="P14">
        <v>7.5</v>
      </c>
      <c r="Q14" t="s">
        <v>1110</v>
      </c>
      <c r="V14" s="28"/>
    </row>
    <row r="15" spans="1:22">
      <c r="A15" s="2">
        <v>45880</v>
      </c>
      <c r="B15">
        <v>1</v>
      </c>
      <c r="C15">
        <v>14</v>
      </c>
      <c r="D15" t="s">
        <v>23</v>
      </c>
      <c r="E15" t="s">
        <v>42</v>
      </c>
      <c r="F15" t="s">
        <v>201</v>
      </c>
      <c r="G15">
        <v>2</v>
      </c>
      <c r="H15">
        <v>4</v>
      </c>
      <c r="I15">
        <v>2</v>
      </c>
      <c r="J15" t="b">
        <v>0</v>
      </c>
      <c r="L15">
        <v>33</v>
      </c>
      <c r="N15" t="s">
        <v>1107</v>
      </c>
      <c r="O15" s="28">
        <v>170.23999999999899</v>
      </c>
      <c r="P15">
        <v>7.46</v>
      </c>
      <c r="Q15" t="s">
        <v>1110</v>
      </c>
    </row>
    <row r="16" spans="1:22">
      <c r="A16" s="2">
        <v>45880</v>
      </c>
      <c r="B16">
        <v>1</v>
      </c>
      <c r="C16">
        <v>15</v>
      </c>
      <c r="D16" t="s">
        <v>24</v>
      </c>
      <c r="E16" t="s">
        <v>43</v>
      </c>
      <c r="F16" t="s">
        <v>202</v>
      </c>
      <c r="G16">
        <v>3</v>
      </c>
      <c r="H16">
        <v>2</v>
      </c>
      <c r="I16">
        <v>3</v>
      </c>
      <c r="J16" t="b">
        <v>0</v>
      </c>
      <c r="L16">
        <v>33</v>
      </c>
      <c r="N16" t="s">
        <v>1108</v>
      </c>
      <c r="O16" s="28">
        <v>161.41999999999999</v>
      </c>
      <c r="P16">
        <v>6.06</v>
      </c>
      <c r="Q16" t="s">
        <v>1111</v>
      </c>
      <c r="V16" s="28"/>
    </row>
    <row r="17" spans="1:22">
      <c r="A17" s="2">
        <v>45880</v>
      </c>
      <c r="B17">
        <v>1</v>
      </c>
      <c r="C17">
        <v>16</v>
      </c>
      <c r="D17" t="s">
        <v>1273</v>
      </c>
      <c r="E17" t="s">
        <v>44</v>
      </c>
      <c r="F17" t="s">
        <v>203</v>
      </c>
      <c r="G17">
        <v>0</v>
      </c>
      <c r="H17">
        <v>3</v>
      </c>
      <c r="I17">
        <v>0</v>
      </c>
      <c r="J17" t="b">
        <v>0</v>
      </c>
      <c r="L17">
        <v>33</v>
      </c>
      <c r="M17">
        <v>10</v>
      </c>
      <c r="N17" t="s">
        <v>1107</v>
      </c>
      <c r="O17" s="28">
        <v>182.66</v>
      </c>
      <c r="P17">
        <v>7.05</v>
      </c>
      <c r="Q17" t="s">
        <v>1111</v>
      </c>
      <c r="V17" s="28"/>
    </row>
    <row r="18" spans="1:22">
      <c r="A18" s="2">
        <v>45880</v>
      </c>
      <c r="B18">
        <v>1</v>
      </c>
      <c r="C18">
        <v>17</v>
      </c>
      <c r="D18" t="s">
        <v>25</v>
      </c>
      <c r="E18" t="s">
        <v>45</v>
      </c>
      <c r="F18" t="s">
        <v>204</v>
      </c>
      <c r="G18">
        <v>4</v>
      </c>
      <c r="H18">
        <v>0</v>
      </c>
      <c r="I18">
        <v>4</v>
      </c>
      <c r="J18" t="b">
        <v>0</v>
      </c>
      <c r="K18" t="s">
        <v>1104</v>
      </c>
      <c r="L18">
        <v>33</v>
      </c>
      <c r="N18" t="s">
        <v>1107</v>
      </c>
      <c r="O18">
        <v>149</v>
      </c>
      <c r="P18">
        <v>7.21</v>
      </c>
      <c r="Q18" t="s">
        <v>1111</v>
      </c>
      <c r="V18" s="28"/>
    </row>
    <row r="19" spans="1:22">
      <c r="A19" s="2">
        <v>45880</v>
      </c>
      <c r="B19">
        <v>1</v>
      </c>
      <c r="C19">
        <v>18</v>
      </c>
      <c r="D19" t="s">
        <v>26</v>
      </c>
      <c r="E19" t="s">
        <v>46</v>
      </c>
      <c r="F19" t="s">
        <v>205</v>
      </c>
      <c r="G19">
        <v>0</v>
      </c>
      <c r="H19">
        <v>0</v>
      </c>
      <c r="I19">
        <v>4</v>
      </c>
      <c r="J19" t="b">
        <v>0</v>
      </c>
      <c r="K19" t="s">
        <v>1104</v>
      </c>
      <c r="L19">
        <v>33</v>
      </c>
      <c r="N19" t="s">
        <v>1107</v>
      </c>
      <c r="O19">
        <v>149.18</v>
      </c>
      <c r="P19">
        <v>5.75</v>
      </c>
      <c r="Q19" t="s">
        <v>1110</v>
      </c>
    </row>
    <row r="20" spans="1:22">
      <c r="A20" s="2">
        <v>45880</v>
      </c>
      <c r="B20">
        <v>1</v>
      </c>
      <c r="C20">
        <v>19</v>
      </c>
      <c r="D20" t="s">
        <v>27</v>
      </c>
      <c r="E20" t="s">
        <v>47</v>
      </c>
      <c r="F20" t="s">
        <v>206</v>
      </c>
      <c r="G20">
        <v>0</v>
      </c>
      <c r="H20">
        <v>2</v>
      </c>
      <c r="I20">
        <v>2</v>
      </c>
      <c r="J20" t="b">
        <v>0</v>
      </c>
      <c r="K20" t="s">
        <v>1104</v>
      </c>
      <c r="L20">
        <v>33</v>
      </c>
      <c r="M20">
        <v>5.9</v>
      </c>
      <c r="N20" t="s">
        <v>1107</v>
      </c>
      <c r="O20">
        <v>144.86000000000001</v>
      </c>
      <c r="P20">
        <v>7.76</v>
      </c>
      <c r="Q20" t="s">
        <v>1110</v>
      </c>
    </row>
    <row r="21" spans="1:22">
      <c r="A21" s="2">
        <v>45880</v>
      </c>
      <c r="B21">
        <v>1</v>
      </c>
      <c r="C21">
        <v>20</v>
      </c>
      <c r="D21" t="s">
        <v>28</v>
      </c>
      <c r="E21" t="s">
        <v>48</v>
      </c>
      <c r="F21" t="s">
        <v>207</v>
      </c>
      <c r="G21">
        <v>3</v>
      </c>
      <c r="H21">
        <v>0</v>
      </c>
      <c r="I21">
        <v>5</v>
      </c>
      <c r="J21" t="b">
        <v>0</v>
      </c>
      <c r="K21" t="s">
        <v>1104</v>
      </c>
      <c r="L21">
        <v>33</v>
      </c>
      <c r="N21" t="s">
        <v>1107</v>
      </c>
      <c r="O21">
        <v>167.54</v>
      </c>
      <c r="P21">
        <v>7.29</v>
      </c>
      <c r="Q21" t="s">
        <v>1110</v>
      </c>
    </row>
    <row r="22" spans="1:22">
      <c r="A22" s="2">
        <v>45880</v>
      </c>
      <c r="B22">
        <v>2</v>
      </c>
      <c r="C22">
        <v>1</v>
      </c>
      <c r="D22" t="s">
        <v>17</v>
      </c>
      <c r="E22" t="s">
        <v>49</v>
      </c>
      <c r="F22" t="s">
        <v>208</v>
      </c>
      <c r="G22">
        <v>0</v>
      </c>
      <c r="H22">
        <v>0</v>
      </c>
      <c r="I22">
        <v>0</v>
      </c>
      <c r="J22" t="b">
        <v>0</v>
      </c>
      <c r="L22">
        <v>34</v>
      </c>
      <c r="N22" t="s">
        <v>1107</v>
      </c>
      <c r="O22">
        <v>72.099999999999994</v>
      </c>
      <c r="P22">
        <v>6.86</v>
      </c>
      <c r="Q22" t="s">
        <v>1110</v>
      </c>
    </row>
    <row r="23" spans="1:22">
      <c r="A23" s="2">
        <v>45880</v>
      </c>
      <c r="B23">
        <v>2</v>
      </c>
      <c r="C23">
        <v>2</v>
      </c>
      <c r="D23" t="s">
        <v>1269</v>
      </c>
      <c r="E23" t="s">
        <v>50</v>
      </c>
      <c r="F23" t="s">
        <v>209</v>
      </c>
      <c r="G23">
        <v>1</v>
      </c>
      <c r="H23">
        <v>0</v>
      </c>
      <c r="I23">
        <v>1</v>
      </c>
      <c r="J23" t="b">
        <v>0</v>
      </c>
      <c r="L23">
        <v>34</v>
      </c>
      <c r="N23" t="s">
        <v>1106</v>
      </c>
      <c r="O23">
        <v>82.4</v>
      </c>
      <c r="P23">
        <v>7.61</v>
      </c>
      <c r="Q23" t="s">
        <v>1110</v>
      </c>
    </row>
    <row r="24" spans="1:22">
      <c r="A24" s="2">
        <v>45880</v>
      </c>
      <c r="B24">
        <v>2</v>
      </c>
      <c r="C24">
        <v>3</v>
      </c>
      <c r="D24" t="s">
        <v>18</v>
      </c>
      <c r="E24" t="s">
        <v>51</v>
      </c>
      <c r="F24" t="s">
        <v>210</v>
      </c>
      <c r="G24">
        <v>5</v>
      </c>
      <c r="H24">
        <v>0</v>
      </c>
      <c r="I24">
        <v>6</v>
      </c>
      <c r="J24" t="b">
        <v>0</v>
      </c>
      <c r="L24">
        <v>34</v>
      </c>
      <c r="N24" t="s">
        <v>1106</v>
      </c>
      <c r="O24">
        <v>82.9</v>
      </c>
      <c r="P24">
        <v>5.84</v>
      </c>
      <c r="Q24" t="s">
        <v>1110</v>
      </c>
    </row>
    <row r="25" spans="1:22">
      <c r="A25" s="2">
        <v>45880</v>
      </c>
      <c r="B25">
        <v>2</v>
      </c>
      <c r="C25">
        <v>4</v>
      </c>
      <c r="D25" t="s">
        <v>19</v>
      </c>
      <c r="E25" t="s">
        <v>52</v>
      </c>
      <c r="F25" t="s">
        <v>211</v>
      </c>
      <c r="G25">
        <v>5</v>
      </c>
      <c r="H25">
        <v>5</v>
      </c>
      <c r="I25">
        <v>6</v>
      </c>
      <c r="J25" t="b">
        <v>0</v>
      </c>
      <c r="L25">
        <v>34</v>
      </c>
      <c r="M25">
        <v>9.8000000000000007</v>
      </c>
      <c r="N25" t="s">
        <v>1107</v>
      </c>
      <c r="O25">
        <v>61.4</v>
      </c>
      <c r="P25">
        <v>7.4</v>
      </c>
      <c r="Q25" t="s">
        <v>1110</v>
      </c>
    </row>
    <row r="26" spans="1:22">
      <c r="A26" s="2">
        <v>45880</v>
      </c>
      <c r="B26">
        <v>2</v>
      </c>
      <c r="C26">
        <v>5</v>
      </c>
      <c r="D26" t="s">
        <v>1115</v>
      </c>
      <c r="E26" t="s">
        <v>53</v>
      </c>
      <c r="F26" t="s">
        <v>212</v>
      </c>
      <c r="G26">
        <v>1</v>
      </c>
      <c r="H26">
        <v>5</v>
      </c>
      <c r="I26">
        <v>2</v>
      </c>
      <c r="J26" t="b">
        <v>0</v>
      </c>
      <c r="L26">
        <v>34</v>
      </c>
      <c r="M26">
        <v>9.1</v>
      </c>
      <c r="N26" t="s">
        <v>1107</v>
      </c>
      <c r="O26">
        <v>72.599999999999994</v>
      </c>
      <c r="P26">
        <v>6.18</v>
      </c>
      <c r="Q26" t="s">
        <v>1110</v>
      </c>
    </row>
    <row r="27" spans="1:22">
      <c r="A27" s="2">
        <v>45880</v>
      </c>
      <c r="B27">
        <v>2</v>
      </c>
      <c r="C27">
        <v>6</v>
      </c>
      <c r="D27" t="s">
        <v>1270</v>
      </c>
      <c r="E27" t="s">
        <v>54</v>
      </c>
      <c r="F27" t="s">
        <v>213</v>
      </c>
      <c r="G27">
        <v>1</v>
      </c>
      <c r="H27">
        <v>0</v>
      </c>
      <c r="I27">
        <v>3</v>
      </c>
      <c r="J27" t="b">
        <v>0</v>
      </c>
      <c r="L27">
        <v>34</v>
      </c>
      <c r="N27" t="s">
        <v>1107</v>
      </c>
      <c r="O27">
        <v>84.4</v>
      </c>
      <c r="P27">
        <v>7.09</v>
      </c>
      <c r="Q27" t="s">
        <v>1110</v>
      </c>
    </row>
    <row r="28" spans="1:22">
      <c r="A28" s="2">
        <v>45880</v>
      </c>
      <c r="B28">
        <v>2</v>
      </c>
      <c r="C28">
        <v>7</v>
      </c>
      <c r="D28" t="s">
        <v>1114</v>
      </c>
      <c r="E28" t="s">
        <v>55</v>
      </c>
      <c r="F28" t="s">
        <v>214</v>
      </c>
      <c r="G28">
        <v>5</v>
      </c>
      <c r="H28">
        <v>2</v>
      </c>
      <c r="I28">
        <v>6</v>
      </c>
      <c r="J28" t="b">
        <v>0</v>
      </c>
      <c r="L28">
        <v>34</v>
      </c>
      <c r="M28">
        <v>10</v>
      </c>
      <c r="N28" t="s">
        <v>1107</v>
      </c>
      <c r="O28">
        <v>60.3</v>
      </c>
      <c r="P28">
        <v>5.63</v>
      </c>
      <c r="Q28" t="s">
        <v>1110</v>
      </c>
    </row>
    <row r="29" spans="1:22">
      <c r="A29" s="2">
        <v>45880</v>
      </c>
      <c r="B29">
        <v>2</v>
      </c>
      <c r="C29">
        <v>8</v>
      </c>
      <c r="D29" t="s">
        <v>1271</v>
      </c>
      <c r="E29" t="s">
        <v>56</v>
      </c>
      <c r="F29" t="s">
        <v>215</v>
      </c>
      <c r="G29">
        <v>5</v>
      </c>
      <c r="H29">
        <v>1</v>
      </c>
      <c r="I29">
        <v>10</v>
      </c>
      <c r="J29" t="b">
        <v>0</v>
      </c>
      <c r="L29">
        <v>34</v>
      </c>
      <c r="M29">
        <v>9.6</v>
      </c>
      <c r="N29" t="s">
        <v>1107</v>
      </c>
      <c r="O29">
        <v>75.3</v>
      </c>
      <c r="P29">
        <v>5.78</v>
      </c>
      <c r="Q29" t="s">
        <v>1110</v>
      </c>
    </row>
    <row r="30" spans="1:22">
      <c r="A30" s="2">
        <v>45880</v>
      </c>
      <c r="B30">
        <v>2</v>
      </c>
      <c r="C30">
        <v>9</v>
      </c>
      <c r="D30" t="s">
        <v>20</v>
      </c>
      <c r="E30" t="s">
        <v>57</v>
      </c>
      <c r="F30" t="s">
        <v>216</v>
      </c>
      <c r="G30">
        <v>1</v>
      </c>
      <c r="H30">
        <v>0</v>
      </c>
      <c r="I30">
        <v>11</v>
      </c>
      <c r="J30" t="b">
        <v>0</v>
      </c>
      <c r="L30">
        <v>34</v>
      </c>
      <c r="N30" t="s">
        <v>1107</v>
      </c>
      <c r="O30">
        <v>71.8</v>
      </c>
      <c r="P30">
        <v>6.84</v>
      </c>
      <c r="Q30" t="s">
        <v>1110</v>
      </c>
    </row>
    <row r="31" spans="1:22">
      <c r="A31" s="2">
        <v>45880</v>
      </c>
      <c r="B31">
        <v>2</v>
      </c>
      <c r="C31">
        <v>10</v>
      </c>
      <c r="D31" t="s">
        <v>1113</v>
      </c>
      <c r="E31" t="s">
        <v>58</v>
      </c>
      <c r="F31" t="s">
        <v>217</v>
      </c>
      <c r="G31">
        <v>3</v>
      </c>
      <c r="H31">
        <v>2</v>
      </c>
      <c r="I31">
        <v>12</v>
      </c>
      <c r="J31" t="b">
        <v>0</v>
      </c>
      <c r="L31">
        <v>34</v>
      </c>
      <c r="M31">
        <v>8.6999999999999993</v>
      </c>
      <c r="N31" t="s">
        <v>1107</v>
      </c>
      <c r="O31">
        <v>65.3</v>
      </c>
      <c r="P31">
        <v>7.1</v>
      </c>
      <c r="Q31" t="s">
        <v>1110</v>
      </c>
    </row>
    <row r="32" spans="1:22">
      <c r="A32" s="2">
        <v>45880</v>
      </c>
      <c r="B32">
        <v>2</v>
      </c>
      <c r="C32">
        <v>11</v>
      </c>
      <c r="D32" t="s">
        <v>1272</v>
      </c>
      <c r="E32" t="s">
        <v>59</v>
      </c>
      <c r="F32" t="s">
        <v>218</v>
      </c>
      <c r="G32">
        <v>4</v>
      </c>
      <c r="H32">
        <v>1</v>
      </c>
      <c r="I32">
        <v>15</v>
      </c>
      <c r="J32" t="b">
        <v>0</v>
      </c>
      <c r="L32">
        <v>34</v>
      </c>
      <c r="M32">
        <v>9.1</v>
      </c>
      <c r="N32" t="s">
        <v>1107</v>
      </c>
      <c r="O32">
        <v>67</v>
      </c>
      <c r="P32">
        <v>5.54</v>
      </c>
      <c r="Q32" t="s">
        <v>1110</v>
      </c>
    </row>
    <row r="33" spans="1:17">
      <c r="A33" s="2">
        <v>45880</v>
      </c>
      <c r="B33">
        <v>2</v>
      </c>
      <c r="C33">
        <v>12</v>
      </c>
      <c r="D33" t="s">
        <v>21</v>
      </c>
      <c r="E33" t="s">
        <v>60</v>
      </c>
      <c r="F33" t="s">
        <v>219</v>
      </c>
      <c r="G33">
        <v>1</v>
      </c>
      <c r="H33">
        <v>2</v>
      </c>
      <c r="I33">
        <v>14</v>
      </c>
      <c r="J33" t="b">
        <v>0</v>
      </c>
      <c r="L33">
        <v>34</v>
      </c>
      <c r="M33">
        <v>8.1999999999999993</v>
      </c>
      <c r="N33" t="s">
        <v>1107</v>
      </c>
      <c r="O33">
        <v>65.7</v>
      </c>
      <c r="P33">
        <v>5.3</v>
      </c>
      <c r="Q33" t="s">
        <v>1110</v>
      </c>
    </row>
    <row r="34" spans="1:17">
      <c r="A34" s="2">
        <v>45880</v>
      </c>
      <c r="B34">
        <v>2</v>
      </c>
      <c r="C34">
        <v>13</v>
      </c>
      <c r="D34" t="s">
        <v>22</v>
      </c>
      <c r="E34" t="s">
        <v>61</v>
      </c>
      <c r="F34" t="s">
        <v>220</v>
      </c>
      <c r="G34">
        <v>5</v>
      </c>
      <c r="H34">
        <v>3</v>
      </c>
      <c r="I34">
        <v>16</v>
      </c>
      <c r="J34" t="b">
        <v>0</v>
      </c>
      <c r="L34">
        <v>34</v>
      </c>
      <c r="M34">
        <v>9.3000000000000007</v>
      </c>
      <c r="N34" t="s">
        <v>1107</v>
      </c>
      <c r="O34">
        <v>70.8</v>
      </c>
      <c r="P34">
        <v>6.14</v>
      </c>
      <c r="Q34" t="s">
        <v>1110</v>
      </c>
    </row>
    <row r="35" spans="1:17">
      <c r="A35" s="2">
        <v>45880</v>
      </c>
      <c r="B35">
        <v>2</v>
      </c>
      <c r="C35">
        <v>14</v>
      </c>
      <c r="D35" t="s">
        <v>23</v>
      </c>
      <c r="E35" t="s">
        <v>62</v>
      </c>
      <c r="F35" t="s">
        <v>221</v>
      </c>
      <c r="G35">
        <v>1</v>
      </c>
      <c r="H35">
        <v>2</v>
      </c>
      <c r="I35">
        <v>15</v>
      </c>
      <c r="J35" t="b">
        <v>0</v>
      </c>
      <c r="L35">
        <v>34</v>
      </c>
      <c r="M35">
        <v>10</v>
      </c>
      <c r="N35" t="s">
        <v>1109</v>
      </c>
      <c r="O35">
        <v>63.7</v>
      </c>
      <c r="P35">
        <v>7.42</v>
      </c>
      <c r="Q35" t="s">
        <v>1110</v>
      </c>
    </row>
    <row r="36" spans="1:17">
      <c r="A36" s="2">
        <v>45880</v>
      </c>
      <c r="B36">
        <v>2</v>
      </c>
      <c r="C36">
        <v>15</v>
      </c>
      <c r="D36" t="s">
        <v>24</v>
      </c>
      <c r="E36" t="s">
        <v>63</v>
      </c>
      <c r="F36" t="s">
        <v>222</v>
      </c>
      <c r="G36">
        <v>4</v>
      </c>
      <c r="H36">
        <v>4</v>
      </c>
      <c r="I36">
        <v>15</v>
      </c>
      <c r="J36" t="b">
        <v>0</v>
      </c>
      <c r="L36">
        <v>34</v>
      </c>
      <c r="N36" t="s">
        <v>1107</v>
      </c>
      <c r="O36">
        <v>84.9</v>
      </c>
      <c r="P36">
        <v>7.55</v>
      </c>
      <c r="Q36" t="s">
        <v>1110</v>
      </c>
    </row>
    <row r="37" spans="1:17">
      <c r="A37" s="2">
        <v>45880</v>
      </c>
      <c r="B37">
        <v>2</v>
      </c>
      <c r="C37">
        <v>16</v>
      </c>
      <c r="D37" t="s">
        <v>1273</v>
      </c>
      <c r="E37" t="s">
        <v>64</v>
      </c>
      <c r="F37" t="s">
        <v>64</v>
      </c>
      <c r="G37">
        <v>3</v>
      </c>
      <c r="H37">
        <v>4</v>
      </c>
      <c r="I37">
        <v>14</v>
      </c>
      <c r="J37" t="b">
        <v>0</v>
      </c>
      <c r="L37">
        <v>34</v>
      </c>
      <c r="M37">
        <v>10</v>
      </c>
      <c r="N37" t="s">
        <v>1107</v>
      </c>
      <c r="O37">
        <v>79.599999999999994</v>
      </c>
      <c r="P37">
        <v>5.9</v>
      </c>
      <c r="Q37" t="s">
        <v>1110</v>
      </c>
    </row>
    <row r="38" spans="1:17">
      <c r="A38" s="2">
        <v>45880</v>
      </c>
      <c r="B38">
        <v>2</v>
      </c>
      <c r="C38">
        <v>17</v>
      </c>
      <c r="D38" t="s">
        <v>25</v>
      </c>
      <c r="E38" t="s">
        <v>65</v>
      </c>
      <c r="F38" t="s">
        <v>223</v>
      </c>
      <c r="G38">
        <v>2</v>
      </c>
      <c r="H38">
        <v>3</v>
      </c>
      <c r="I38">
        <v>13</v>
      </c>
      <c r="J38" t="b">
        <v>0</v>
      </c>
      <c r="K38" t="s">
        <v>1104</v>
      </c>
      <c r="L38">
        <v>34</v>
      </c>
      <c r="M38">
        <v>5.2</v>
      </c>
      <c r="N38" t="s">
        <v>1107</v>
      </c>
      <c r="O38">
        <v>70</v>
      </c>
      <c r="P38">
        <v>7.07</v>
      </c>
      <c r="Q38" t="s">
        <v>1110</v>
      </c>
    </row>
    <row r="39" spans="1:17">
      <c r="A39" s="2">
        <v>45880</v>
      </c>
      <c r="B39">
        <v>2</v>
      </c>
      <c r="C39">
        <v>18</v>
      </c>
      <c r="D39" t="s">
        <v>26</v>
      </c>
      <c r="E39" t="s">
        <v>66</v>
      </c>
      <c r="F39" t="s">
        <v>224</v>
      </c>
      <c r="G39">
        <v>4</v>
      </c>
      <c r="H39">
        <v>1</v>
      </c>
      <c r="I39">
        <v>16</v>
      </c>
      <c r="J39" t="b">
        <v>0</v>
      </c>
      <c r="K39" t="s">
        <v>1104</v>
      </c>
      <c r="L39">
        <v>34</v>
      </c>
      <c r="M39">
        <v>4.9000000000000004</v>
      </c>
      <c r="N39" t="s">
        <v>1107</v>
      </c>
      <c r="O39">
        <v>71.900000000000006</v>
      </c>
      <c r="P39">
        <v>6.89</v>
      </c>
      <c r="Q39" t="s">
        <v>1110</v>
      </c>
    </row>
    <row r="40" spans="1:17">
      <c r="A40" s="2">
        <v>45880</v>
      </c>
      <c r="B40">
        <v>2</v>
      </c>
      <c r="C40">
        <v>19</v>
      </c>
      <c r="D40" t="s">
        <v>27</v>
      </c>
      <c r="E40" t="s">
        <v>67</v>
      </c>
      <c r="F40" t="s">
        <v>225</v>
      </c>
      <c r="G40">
        <v>0</v>
      </c>
      <c r="H40">
        <v>0</v>
      </c>
      <c r="I40">
        <v>16</v>
      </c>
      <c r="J40" t="b">
        <v>0</v>
      </c>
      <c r="K40" t="s">
        <v>1104</v>
      </c>
      <c r="L40">
        <v>34</v>
      </c>
      <c r="N40" t="s">
        <v>1107</v>
      </c>
      <c r="O40">
        <v>69</v>
      </c>
      <c r="P40">
        <v>6.68</v>
      </c>
      <c r="Q40" t="s">
        <v>1111</v>
      </c>
    </row>
    <row r="41" spans="1:17">
      <c r="A41" s="2">
        <v>45880</v>
      </c>
      <c r="B41">
        <v>2</v>
      </c>
      <c r="C41">
        <v>20</v>
      </c>
      <c r="D41" t="s">
        <v>28</v>
      </c>
      <c r="E41" t="s">
        <v>68</v>
      </c>
      <c r="F41" t="s">
        <v>226</v>
      </c>
      <c r="G41">
        <v>5</v>
      </c>
      <c r="H41">
        <v>1</v>
      </c>
      <c r="I41">
        <v>20</v>
      </c>
      <c r="J41" t="b">
        <v>0</v>
      </c>
      <c r="K41" t="s">
        <v>1104</v>
      </c>
      <c r="L41">
        <v>34</v>
      </c>
      <c r="M41">
        <v>5.2</v>
      </c>
      <c r="N41" t="s">
        <v>1107</v>
      </c>
      <c r="O41">
        <v>60.5</v>
      </c>
      <c r="P41">
        <v>5.36</v>
      </c>
      <c r="Q41" t="s">
        <v>1111</v>
      </c>
    </row>
    <row r="42" spans="1:17">
      <c r="A42" s="2">
        <v>45880</v>
      </c>
      <c r="B42">
        <v>3</v>
      </c>
      <c r="C42">
        <v>1</v>
      </c>
      <c r="D42" t="s">
        <v>17</v>
      </c>
      <c r="E42" t="s">
        <v>69</v>
      </c>
      <c r="F42" t="s">
        <v>227</v>
      </c>
      <c r="G42">
        <v>0</v>
      </c>
      <c r="H42">
        <v>0</v>
      </c>
      <c r="I42">
        <v>0</v>
      </c>
      <c r="J42" t="b">
        <v>0</v>
      </c>
      <c r="L42">
        <v>33</v>
      </c>
      <c r="N42" t="s">
        <v>1109</v>
      </c>
      <c r="O42">
        <v>65</v>
      </c>
      <c r="P42">
        <v>6.73</v>
      </c>
      <c r="Q42" t="s">
        <v>1110</v>
      </c>
    </row>
    <row r="43" spans="1:17">
      <c r="A43" s="2">
        <v>45880</v>
      </c>
      <c r="B43">
        <v>3</v>
      </c>
      <c r="C43">
        <v>2</v>
      </c>
      <c r="D43" t="s">
        <v>1269</v>
      </c>
      <c r="E43" t="s">
        <v>70</v>
      </c>
      <c r="F43" t="s">
        <v>228</v>
      </c>
      <c r="G43">
        <v>4</v>
      </c>
      <c r="H43">
        <v>0</v>
      </c>
      <c r="I43">
        <v>4</v>
      </c>
      <c r="J43" t="b">
        <v>0</v>
      </c>
      <c r="L43">
        <v>33</v>
      </c>
      <c r="N43" t="s">
        <v>1107</v>
      </c>
      <c r="O43">
        <v>79.5</v>
      </c>
      <c r="P43">
        <v>6.07</v>
      </c>
      <c r="Q43" t="s">
        <v>1110</v>
      </c>
    </row>
    <row r="44" spans="1:17">
      <c r="A44" s="2">
        <v>45880</v>
      </c>
      <c r="B44">
        <v>3</v>
      </c>
      <c r="C44">
        <v>3</v>
      </c>
      <c r="D44" t="s">
        <v>18</v>
      </c>
      <c r="E44" t="s">
        <v>71</v>
      </c>
      <c r="F44" t="s">
        <v>229</v>
      </c>
      <c r="G44">
        <v>2</v>
      </c>
      <c r="H44">
        <v>4</v>
      </c>
      <c r="I44">
        <v>2</v>
      </c>
      <c r="J44" t="b">
        <v>0</v>
      </c>
      <c r="L44">
        <v>33</v>
      </c>
      <c r="M44">
        <v>10</v>
      </c>
      <c r="N44" t="s">
        <v>1107</v>
      </c>
      <c r="O44">
        <v>78.400000000000006</v>
      </c>
      <c r="P44">
        <v>7.67</v>
      </c>
      <c r="Q44" t="s">
        <v>1110</v>
      </c>
    </row>
    <row r="45" spans="1:17">
      <c r="A45" s="2">
        <v>45880</v>
      </c>
      <c r="B45">
        <v>3</v>
      </c>
      <c r="C45">
        <v>4</v>
      </c>
      <c r="D45" t="s">
        <v>19</v>
      </c>
      <c r="E45" t="s">
        <v>72</v>
      </c>
      <c r="F45" t="s">
        <v>230</v>
      </c>
      <c r="G45">
        <v>5</v>
      </c>
      <c r="H45">
        <v>0</v>
      </c>
      <c r="I45">
        <v>7</v>
      </c>
      <c r="J45" t="b">
        <v>0</v>
      </c>
      <c r="L45">
        <v>33</v>
      </c>
      <c r="N45" t="s">
        <v>1107</v>
      </c>
      <c r="O45">
        <v>75.8</v>
      </c>
      <c r="P45">
        <v>5.43</v>
      </c>
      <c r="Q45" t="s">
        <v>1110</v>
      </c>
    </row>
    <row r="46" spans="1:17">
      <c r="A46" s="2">
        <v>45880</v>
      </c>
      <c r="B46">
        <v>3</v>
      </c>
      <c r="C46">
        <v>5</v>
      </c>
      <c r="D46" t="s">
        <v>1115</v>
      </c>
      <c r="E46" t="s">
        <v>73</v>
      </c>
      <c r="F46" t="s">
        <v>231</v>
      </c>
      <c r="G46">
        <v>4</v>
      </c>
      <c r="H46">
        <v>5</v>
      </c>
      <c r="I46">
        <v>6</v>
      </c>
      <c r="J46" t="b">
        <v>0</v>
      </c>
      <c r="L46">
        <v>33</v>
      </c>
      <c r="M46">
        <v>10</v>
      </c>
      <c r="N46" t="s">
        <v>1107</v>
      </c>
      <c r="O46">
        <v>68.400000000000006</v>
      </c>
      <c r="P46">
        <v>6.89</v>
      </c>
      <c r="Q46" t="s">
        <v>1110</v>
      </c>
    </row>
    <row r="47" spans="1:17">
      <c r="A47" s="2">
        <v>45880</v>
      </c>
      <c r="B47">
        <v>3</v>
      </c>
      <c r="C47">
        <v>6</v>
      </c>
      <c r="D47" t="s">
        <v>1270</v>
      </c>
      <c r="E47" t="s">
        <v>74</v>
      </c>
      <c r="F47" t="s">
        <v>232</v>
      </c>
      <c r="G47">
        <v>2</v>
      </c>
      <c r="H47">
        <v>5</v>
      </c>
      <c r="I47">
        <v>3</v>
      </c>
      <c r="J47" t="b">
        <v>0</v>
      </c>
      <c r="L47">
        <v>33</v>
      </c>
      <c r="M47">
        <v>9.9</v>
      </c>
      <c r="N47" t="s">
        <v>1107</v>
      </c>
      <c r="O47">
        <v>61.8</v>
      </c>
      <c r="P47">
        <v>5.49</v>
      </c>
      <c r="Q47" t="s">
        <v>1110</v>
      </c>
    </row>
    <row r="48" spans="1:17">
      <c r="A48" s="2">
        <v>45880</v>
      </c>
      <c r="B48">
        <v>3</v>
      </c>
      <c r="C48">
        <v>7</v>
      </c>
      <c r="D48" t="s">
        <v>1114</v>
      </c>
      <c r="E48" t="s">
        <v>75</v>
      </c>
      <c r="F48" t="s">
        <v>233</v>
      </c>
      <c r="G48">
        <v>1</v>
      </c>
      <c r="H48">
        <v>3</v>
      </c>
      <c r="I48">
        <v>1</v>
      </c>
      <c r="J48" t="b">
        <v>0</v>
      </c>
      <c r="L48">
        <v>33</v>
      </c>
      <c r="M48">
        <v>9.6999999999999993</v>
      </c>
      <c r="N48" t="s">
        <v>1107</v>
      </c>
      <c r="O48">
        <v>67.3</v>
      </c>
      <c r="P48">
        <v>5.8</v>
      </c>
      <c r="Q48" t="s">
        <v>1110</v>
      </c>
    </row>
    <row r="49" spans="1:17">
      <c r="A49" s="2">
        <v>45880</v>
      </c>
      <c r="B49">
        <v>3</v>
      </c>
      <c r="C49">
        <v>8</v>
      </c>
      <c r="D49" t="s">
        <v>1271</v>
      </c>
      <c r="E49" t="s">
        <v>76</v>
      </c>
      <c r="F49" t="s">
        <v>234</v>
      </c>
      <c r="G49">
        <v>4</v>
      </c>
      <c r="H49">
        <v>1</v>
      </c>
      <c r="I49">
        <v>4</v>
      </c>
      <c r="J49" t="b">
        <v>0</v>
      </c>
      <c r="L49">
        <v>33</v>
      </c>
      <c r="M49">
        <v>10</v>
      </c>
      <c r="N49" t="s">
        <v>1107</v>
      </c>
      <c r="O49">
        <v>71.099999999999994</v>
      </c>
      <c r="P49">
        <v>7.59</v>
      </c>
      <c r="Q49" t="s">
        <v>1110</v>
      </c>
    </row>
    <row r="50" spans="1:17">
      <c r="A50" s="2">
        <v>45880</v>
      </c>
      <c r="B50">
        <v>3</v>
      </c>
      <c r="C50">
        <v>9</v>
      </c>
      <c r="D50" t="s">
        <v>20</v>
      </c>
      <c r="E50" t="s">
        <v>77</v>
      </c>
      <c r="F50" t="s">
        <v>235</v>
      </c>
      <c r="G50">
        <v>0</v>
      </c>
      <c r="H50">
        <v>4</v>
      </c>
      <c r="I50">
        <v>0</v>
      </c>
      <c r="J50" t="b">
        <v>0</v>
      </c>
      <c r="L50">
        <v>33</v>
      </c>
      <c r="M50">
        <v>9.8000000000000007</v>
      </c>
      <c r="N50" t="s">
        <v>1107</v>
      </c>
      <c r="O50">
        <v>84.1</v>
      </c>
      <c r="P50">
        <v>6.24</v>
      </c>
      <c r="Q50" t="s">
        <v>1110</v>
      </c>
    </row>
    <row r="51" spans="1:17">
      <c r="A51" s="2">
        <v>45880</v>
      </c>
      <c r="B51">
        <v>3</v>
      </c>
      <c r="C51">
        <v>10</v>
      </c>
      <c r="D51" t="s">
        <v>1113</v>
      </c>
      <c r="E51" t="s">
        <v>78</v>
      </c>
      <c r="F51" t="s">
        <v>236</v>
      </c>
      <c r="G51">
        <v>5</v>
      </c>
      <c r="H51">
        <v>0</v>
      </c>
      <c r="I51">
        <v>5</v>
      </c>
      <c r="J51" t="b">
        <v>0</v>
      </c>
      <c r="L51">
        <v>33</v>
      </c>
      <c r="N51" t="s">
        <v>1107</v>
      </c>
      <c r="O51">
        <v>78.2</v>
      </c>
      <c r="P51">
        <v>6.99</v>
      </c>
      <c r="Q51" t="s">
        <v>1111</v>
      </c>
    </row>
    <row r="52" spans="1:17">
      <c r="A52" s="2">
        <v>45880</v>
      </c>
      <c r="B52">
        <v>3</v>
      </c>
      <c r="C52">
        <v>11</v>
      </c>
      <c r="D52" t="s">
        <v>1272</v>
      </c>
      <c r="E52" t="s">
        <v>79</v>
      </c>
      <c r="F52" t="s">
        <v>237</v>
      </c>
      <c r="G52">
        <v>1</v>
      </c>
      <c r="H52">
        <v>1</v>
      </c>
      <c r="I52">
        <v>5</v>
      </c>
      <c r="J52" t="b">
        <v>0</v>
      </c>
      <c r="L52">
        <v>33</v>
      </c>
      <c r="N52" t="s">
        <v>1107</v>
      </c>
      <c r="O52">
        <v>62</v>
      </c>
      <c r="P52">
        <v>5.5</v>
      </c>
      <c r="Q52" t="s">
        <v>1110</v>
      </c>
    </row>
    <row r="53" spans="1:17">
      <c r="A53" s="2">
        <v>45880</v>
      </c>
      <c r="B53">
        <v>3</v>
      </c>
      <c r="C53">
        <v>12</v>
      </c>
      <c r="D53" t="s">
        <v>21</v>
      </c>
      <c r="E53" t="s">
        <v>80</v>
      </c>
      <c r="F53" t="s">
        <v>238</v>
      </c>
      <c r="G53">
        <v>4</v>
      </c>
      <c r="H53">
        <v>1</v>
      </c>
      <c r="I53">
        <v>8</v>
      </c>
      <c r="J53" t="b">
        <v>0</v>
      </c>
      <c r="L53">
        <v>33</v>
      </c>
      <c r="M53">
        <v>10</v>
      </c>
      <c r="N53" t="s">
        <v>1107</v>
      </c>
      <c r="O53">
        <v>82</v>
      </c>
      <c r="P53">
        <v>6.65</v>
      </c>
      <c r="Q53" t="s">
        <v>1110</v>
      </c>
    </row>
    <row r="54" spans="1:17">
      <c r="A54" s="2">
        <v>45880</v>
      </c>
      <c r="B54">
        <v>3</v>
      </c>
      <c r="C54">
        <v>13</v>
      </c>
      <c r="D54" t="s">
        <v>22</v>
      </c>
      <c r="E54" t="s">
        <v>81</v>
      </c>
      <c r="F54" t="s">
        <v>239</v>
      </c>
      <c r="G54">
        <v>0</v>
      </c>
      <c r="H54">
        <v>4</v>
      </c>
      <c r="I54">
        <v>4</v>
      </c>
      <c r="J54" t="b">
        <v>0</v>
      </c>
      <c r="L54">
        <v>33</v>
      </c>
      <c r="M54">
        <v>8</v>
      </c>
      <c r="N54" t="s">
        <v>1107</v>
      </c>
      <c r="O54">
        <v>79.099999999999994</v>
      </c>
      <c r="P54">
        <v>5.25</v>
      </c>
      <c r="Q54" t="s">
        <v>1110</v>
      </c>
    </row>
    <row r="55" spans="1:17">
      <c r="A55" s="2">
        <v>45880</v>
      </c>
      <c r="B55">
        <v>3</v>
      </c>
      <c r="C55">
        <v>14</v>
      </c>
      <c r="D55" t="s">
        <v>23</v>
      </c>
      <c r="E55" t="s">
        <v>82</v>
      </c>
      <c r="F55" t="s">
        <v>82</v>
      </c>
      <c r="G55">
        <v>0</v>
      </c>
      <c r="H55">
        <v>3</v>
      </c>
      <c r="I55">
        <v>1</v>
      </c>
      <c r="J55" t="b">
        <v>0</v>
      </c>
      <c r="L55">
        <v>33</v>
      </c>
      <c r="M55">
        <v>10</v>
      </c>
      <c r="N55" t="s">
        <v>1107</v>
      </c>
      <c r="O55">
        <v>76.400000000000006</v>
      </c>
      <c r="P55">
        <v>7.66</v>
      </c>
      <c r="Q55" t="s">
        <v>1110</v>
      </c>
    </row>
    <row r="56" spans="1:17">
      <c r="A56" s="2">
        <v>45880</v>
      </c>
      <c r="B56">
        <v>3</v>
      </c>
      <c r="C56">
        <v>15</v>
      </c>
      <c r="D56" t="s">
        <v>24</v>
      </c>
      <c r="E56" t="s">
        <v>83</v>
      </c>
      <c r="F56" t="s">
        <v>240</v>
      </c>
      <c r="G56">
        <v>4</v>
      </c>
      <c r="H56">
        <v>1</v>
      </c>
      <c r="I56">
        <v>4</v>
      </c>
      <c r="J56" t="b">
        <v>0</v>
      </c>
      <c r="L56">
        <v>33</v>
      </c>
      <c r="N56" t="s">
        <v>1107</v>
      </c>
      <c r="O56">
        <v>67.099999999999994</v>
      </c>
      <c r="P56">
        <v>6.88</v>
      </c>
      <c r="Q56" t="s">
        <v>1110</v>
      </c>
    </row>
    <row r="57" spans="1:17">
      <c r="A57" s="2">
        <v>45880</v>
      </c>
      <c r="B57">
        <v>3</v>
      </c>
      <c r="C57">
        <v>16</v>
      </c>
      <c r="D57" t="s">
        <v>1273</v>
      </c>
      <c r="E57" t="s">
        <v>84</v>
      </c>
      <c r="F57" t="s">
        <v>241</v>
      </c>
      <c r="G57">
        <v>9</v>
      </c>
      <c r="H57">
        <v>1</v>
      </c>
      <c r="I57">
        <v>12</v>
      </c>
      <c r="J57" t="b">
        <v>0</v>
      </c>
      <c r="L57">
        <v>33</v>
      </c>
      <c r="M57">
        <v>10</v>
      </c>
      <c r="N57" t="s">
        <v>1107</v>
      </c>
      <c r="O57">
        <v>60.7</v>
      </c>
      <c r="P57">
        <v>6.99</v>
      </c>
      <c r="Q57" t="s">
        <v>1111</v>
      </c>
    </row>
    <row r="58" spans="1:17">
      <c r="A58" s="2">
        <v>45880</v>
      </c>
      <c r="B58">
        <v>3</v>
      </c>
      <c r="C58">
        <v>17</v>
      </c>
      <c r="D58" t="s">
        <v>25</v>
      </c>
      <c r="E58" t="s">
        <v>85</v>
      </c>
      <c r="F58" t="s">
        <v>242</v>
      </c>
      <c r="G58">
        <v>7</v>
      </c>
      <c r="H58">
        <v>0</v>
      </c>
      <c r="I58">
        <v>19</v>
      </c>
      <c r="J58" t="b">
        <v>0</v>
      </c>
      <c r="K58" t="s">
        <v>1104</v>
      </c>
      <c r="L58">
        <v>33</v>
      </c>
      <c r="N58" t="s">
        <v>1107</v>
      </c>
      <c r="O58">
        <v>71.900000000000006</v>
      </c>
      <c r="P58">
        <v>7.92</v>
      </c>
      <c r="Q58" t="s">
        <v>1110</v>
      </c>
    </row>
    <row r="59" spans="1:17">
      <c r="A59" s="2">
        <v>45880</v>
      </c>
      <c r="B59">
        <v>3</v>
      </c>
      <c r="C59">
        <v>18</v>
      </c>
      <c r="D59" t="s">
        <v>26</v>
      </c>
      <c r="E59" t="s">
        <v>86</v>
      </c>
      <c r="F59" t="s">
        <v>243</v>
      </c>
      <c r="G59">
        <v>2</v>
      </c>
      <c r="H59">
        <v>4</v>
      </c>
      <c r="I59">
        <v>17</v>
      </c>
      <c r="J59" t="b">
        <v>0</v>
      </c>
      <c r="K59" t="s">
        <v>1104</v>
      </c>
      <c r="L59">
        <v>33</v>
      </c>
      <c r="M59">
        <v>5.9</v>
      </c>
      <c r="N59" t="s">
        <v>1107</v>
      </c>
      <c r="O59">
        <v>71.099999999999994</v>
      </c>
      <c r="P59">
        <v>7.91</v>
      </c>
      <c r="Q59" t="s">
        <v>1110</v>
      </c>
    </row>
    <row r="60" spans="1:17">
      <c r="A60" s="2">
        <v>45880</v>
      </c>
      <c r="B60">
        <v>3</v>
      </c>
      <c r="C60">
        <v>19</v>
      </c>
      <c r="D60" t="s">
        <v>27</v>
      </c>
      <c r="E60" t="s">
        <v>87</v>
      </c>
      <c r="F60" t="s">
        <v>244</v>
      </c>
      <c r="G60">
        <v>8</v>
      </c>
      <c r="H60">
        <v>3</v>
      </c>
      <c r="I60">
        <v>22</v>
      </c>
      <c r="J60" t="b">
        <v>0</v>
      </c>
      <c r="K60" t="s">
        <v>1104</v>
      </c>
      <c r="L60">
        <v>33</v>
      </c>
      <c r="M60">
        <v>6</v>
      </c>
      <c r="N60" t="s">
        <v>1107</v>
      </c>
      <c r="O60">
        <v>74.900000000000006</v>
      </c>
      <c r="P60">
        <v>6.89</v>
      </c>
      <c r="Q60" t="s">
        <v>1110</v>
      </c>
    </row>
    <row r="61" spans="1:17">
      <c r="A61" s="2">
        <v>45880</v>
      </c>
      <c r="B61">
        <v>3</v>
      </c>
      <c r="C61">
        <v>20</v>
      </c>
      <c r="D61" t="s">
        <v>28</v>
      </c>
      <c r="E61" t="s">
        <v>88</v>
      </c>
      <c r="F61" t="s">
        <v>245</v>
      </c>
      <c r="G61">
        <v>9</v>
      </c>
      <c r="H61">
        <v>4</v>
      </c>
      <c r="I61">
        <v>27</v>
      </c>
      <c r="J61" t="b">
        <v>0</v>
      </c>
      <c r="K61" t="s">
        <v>1104</v>
      </c>
      <c r="L61">
        <v>33</v>
      </c>
      <c r="M61">
        <v>5.9</v>
      </c>
      <c r="N61" t="s">
        <v>1107</v>
      </c>
      <c r="O61">
        <v>73.099999999999994</v>
      </c>
      <c r="P61">
        <v>6.92</v>
      </c>
      <c r="Q61" t="s">
        <v>1110</v>
      </c>
    </row>
    <row r="62" spans="1:17">
      <c r="A62" s="2">
        <v>45880</v>
      </c>
      <c r="B62">
        <v>4</v>
      </c>
      <c r="C62">
        <v>1</v>
      </c>
      <c r="D62" t="s">
        <v>17</v>
      </c>
      <c r="E62" t="s">
        <v>89</v>
      </c>
      <c r="F62" t="s">
        <v>246</v>
      </c>
      <c r="G62">
        <v>0</v>
      </c>
      <c r="H62">
        <v>0</v>
      </c>
      <c r="I62">
        <v>0</v>
      </c>
      <c r="J62" t="b">
        <v>0</v>
      </c>
      <c r="L62">
        <v>34</v>
      </c>
      <c r="N62" t="s">
        <v>1107</v>
      </c>
      <c r="O62">
        <v>73.5</v>
      </c>
      <c r="P62">
        <v>7.41</v>
      </c>
      <c r="Q62" t="s">
        <v>1110</v>
      </c>
    </row>
    <row r="63" spans="1:17">
      <c r="A63" s="2">
        <v>45880</v>
      </c>
      <c r="B63">
        <v>4</v>
      </c>
      <c r="C63">
        <v>2</v>
      </c>
      <c r="D63" t="s">
        <v>1269</v>
      </c>
      <c r="E63" t="s">
        <v>90</v>
      </c>
      <c r="F63" t="s">
        <v>247</v>
      </c>
      <c r="G63">
        <v>4</v>
      </c>
      <c r="H63">
        <v>0</v>
      </c>
      <c r="I63">
        <v>4</v>
      </c>
      <c r="J63" t="b">
        <v>0</v>
      </c>
      <c r="L63">
        <v>34</v>
      </c>
      <c r="N63" t="s">
        <v>1107</v>
      </c>
      <c r="O63">
        <v>66.5</v>
      </c>
      <c r="P63">
        <v>5.91</v>
      </c>
      <c r="Q63" t="s">
        <v>1110</v>
      </c>
    </row>
    <row r="64" spans="1:17">
      <c r="A64" s="2">
        <v>45880</v>
      </c>
      <c r="B64">
        <v>4</v>
      </c>
      <c r="C64">
        <v>3</v>
      </c>
      <c r="D64" t="s">
        <v>18</v>
      </c>
      <c r="E64" t="s">
        <v>91</v>
      </c>
      <c r="F64" t="s">
        <v>248</v>
      </c>
      <c r="G64">
        <v>7</v>
      </c>
      <c r="H64">
        <v>2</v>
      </c>
      <c r="I64">
        <v>9</v>
      </c>
      <c r="J64" t="b">
        <v>0</v>
      </c>
      <c r="L64">
        <v>34</v>
      </c>
      <c r="M64">
        <v>9.9</v>
      </c>
      <c r="N64" t="s">
        <v>1107</v>
      </c>
      <c r="O64">
        <v>81.2</v>
      </c>
      <c r="P64">
        <v>6.03</v>
      </c>
      <c r="Q64" t="s">
        <v>1110</v>
      </c>
    </row>
    <row r="65" spans="1:17">
      <c r="A65" s="2">
        <v>45880</v>
      </c>
      <c r="B65">
        <v>4</v>
      </c>
      <c r="C65">
        <v>4</v>
      </c>
      <c r="D65" t="s">
        <v>19</v>
      </c>
      <c r="E65" t="s">
        <v>92</v>
      </c>
      <c r="F65" t="s">
        <v>249</v>
      </c>
      <c r="G65">
        <v>1</v>
      </c>
      <c r="H65">
        <v>3</v>
      </c>
      <c r="I65">
        <v>7</v>
      </c>
      <c r="J65" t="b">
        <v>0</v>
      </c>
      <c r="L65">
        <v>34</v>
      </c>
      <c r="N65" t="s">
        <v>1107</v>
      </c>
      <c r="O65">
        <v>83.1</v>
      </c>
      <c r="P65">
        <v>7.84</v>
      </c>
      <c r="Q65" t="s">
        <v>1110</v>
      </c>
    </row>
    <row r="66" spans="1:17">
      <c r="A66" s="2">
        <v>45880</v>
      </c>
      <c r="B66">
        <v>4</v>
      </c>
      <c r="C66">
        <v>5</v>
      </c>
      <c r="D66" t="s">
        <v>1115</v>
      </c>
      <c r="E66" t="s">
        <v>93</v>
      </c>
      <c r="F66" t="s">
        <v>250</v>
      </c>
      <c r="G66">
        <v>5</v>
      </c>
      <c r="H66">
        <v>0</v>
      </c>
      <c r="I66">
        <v>12</v>
      </c>
      <c r="J66" t="b">
        <v>0</v>
      </c>
      <c r="L66">
        <v>34</v>
      </c>
      <c r="N66" t="s">
        <v>1107</v>
      </c>
      <c r="O66">
        <v>70.8</v>
      </c>
      <c r="P66">
        <v>5.88</v>
      </c>
      <c r="Q66" t="s">
        <v>1110</v>
      </c>
    </row>
    <row r="67" spans="1:17">
      <c r="A67" s="2">
        <v>45880</v>
      </c>
      <c r="B67">
        <v>4</v>
      </c>
      <c r="C67">
        <v>6</v>
      </c>
      <c r="D67" t="s">
        <v>1270</v>
      </c>
      <c r="E67" t="s">
        <v>94</v>
      </c>
      <c r="F67" t="s">
        <v>251</v>
      </c>
      <c r="G67">
        <v>3</v>
      </c>
      <c r="H67">
        <v>4</v>
      </c>
      <c r="I67">
        <v>11</v>
      </c>
      <c r="J67" t="b">
        <v>0</v>
      </c>
      <c r="L67">
        <v>34</v>
      </c>
      <c r="M67">
        <v>7.7</v>
      </c>
      <c r="N67" t="s">
        <v>1107</v>
      </c>
      <c r="O67">
        <v>69.3</v>
      </c>
      <c r="P67">
        <v>6.24</v>
      </c>
      <c r="Q67" t="s">
        <v>1110</v>
      </c>
    </row>
    <row r="68" spans="1:17">
      <c r="A68" s="2">
        <v>45880</v>
      </c>
      <c r="B68">
        <v>4</v>
      </c>
      <c r="C68">
        <v>7</v>
      </c>
      <c r="D68" t="s">
        <v>1114</v>
      </c>
      <c r="E68" t="s">
        <v>95</v>
      </c>
      <c r="F68" t="s">
        <v>252</v>
      </c>
      <c r="G68">
        <v>1</v>
      </c>
      <c r="H68">
        <v>0</v>
      </c>
      <c r="I68">
        <v>12</v>
      </c>
      <c r="J68" t="b">
        <v>0</v>
      </c>
      <c r="L68">
        <v>34</v>
      </c>
      <c r="N68" t="s">
        <v>1107</v>
      </c>
      <c r="O68">
        <v>64.099999999999994</v>
      </c>
      <c r="P68">
        <v>7.21</v>
      </c>
      <c r="Q68" t="s">
        <v>1110</v>
      </c>
    </row>
    <row r="69" spans="1:17">
      <c r="A69" s="2">
        <v>45880</v>
      </c>
      <c r="B69">
        <v>4</v>
      </c>
      <c r="C69">
        <v>8</v>
      </c>
      <c r="D69" t="s">
        <v>1271</v>
      </c>
      <c r="E69" t="s">
        <v>96</v>
      </c>
      <c r="F69" t="s">
        <v>253</v>
      </c>
      <c r="G69">
        <v>3</v>
      </c>
      <c r="H69">
        <v>0</v>
      </c>
      <c r="I69">
        <v>15</v>
      </c>
      <c r="J69" t="b">
        <v>0</v>
      </c>
      <c r="L69">
        <v>34</v>
      </c>
      <c r="N69" t="s">
        <v>1107</v>
      </c>
      <c r="O69">
        <v>66.599999999999994</v>
      </c>
      <c r="P69">
        <v>6.27</v>
      </c>
      <c r="Q69" t="s">
        <v>1110</v>
      </c>
    </row>
    <row r="70" spans="1:17">
      <c r="A70" s="2">
        <v>45880</v>
      </c>
      <c r="B70">
        <v>4</v>
      </c>
      <c r="C70">
        <v>9</v>
      </c>
      <c r="D70" t="s">
        <v>20</v>
      </c>
      <c r="E70" t="s">
        <v>97</v>
      </c>
      <c r="F70" t="s">
        <v>254</v>
      </c>
      <c r="G70">
        <v>5</v>
      </c>
      <c r="H70">
        <v>0</v>
      </c>
      <c r="I70">
        <v>20</v>
      </c>
      <c r="J70" t="b">
        <v>0</v>
      </c>
      <c r="L70">
        <v>34</v>
      </c>
      <c r="N70" t="s">
        <v>1107</v>
      </c>
      <c r="O70">
        <v>82.7</v>
      </c>
      <c r="P70">
        <v>7.42</v>
      </c>
      <c r="Q70" t="s">
        <v>1110</v>
      </c>
    </row>
    <row r="71" spans="1:17">
      <c r="A71" s="2">
        <v>45880</v>
      </c>
      <c r="B71">
        <v>4</v>
      </c>
      <c r="C71">
        <v>10</v>
      </c>
      <c r="D71" t="s">
        <v>1113</v>
      </c>
      <c r="E71" t="s">
        <v>98</v>
      </c>
      <c r="F71" t="s">
        <v>255</v>
      </c>
      <c r="G71">
        <v>4</v>
      </c>
      <c r="H71">
        <v>1</v>
      </c>
      <c r="I71">
        <v>23</v>
      </c>
      <c r="J71" t="b">
        <v>0</v>
      </c>
      <c r="L71">
        <v>34</v>
      </c>
      <c r="M71">
        <v>7.2</v>
      </c>
      <c r="N71" t="s">
        <v>1107</v>
      </c>
      <c r="O71">
        <v>78.599999999999994</v>
      </c>
      <c r="P71">
        <v>7.43</v>
      </c>
      <c r="Q71" t="s">
        <v>1110</v>
      </c>
    </row>
    <row r="72" spans="1:17">
      <c r="A72" s="2">
        <v>45880</v>
      </c>
      <c r="B72">
        <v>4</v>
      </c>
      <c r="C72">
        <v>11</v>
      </c>
      <c r="D72" t="s">
        <v>1272</v>
      </c>
      <c r="E72" t="s">
        <v>99</v>
      </c>
      <c r="F72" t="s">
        <v>99</v>
      </c>
      <c r="G72">
        <v>4</v>
      </c>
      <c r="H72">
        <v>1</v>
      </c>
      <c r="I72">
        <v>26</v>
      </c>
      <c r="J72" t="b">
        <v>0</v>
      </c>
      <c r="L72">
        <v>34</v>
      </c>
      <c r="M72">
        <v>10</v>
      </c>
      <c r="N72" t="s">
        <v>1107</v>
      </c>
      <c r="O72">
        <v>64.599999999999994</v>
      </c>
      <c r="P72">
        <v>5.87</v>
      </c>
      <c r="Q72" t="s">
        <v>1110</v>
      </c>
    </row>
    <row r="73" spans="1:17">
      <c r="A73" s="2">
        <v>45880</v>
      </c>
      <c r="B73">
        <v>4</v>
      </c>
      <c r="C73">
        <v>12</v>
      </c>
      <c r="D73" t="s">
        <v>21</v>
      </c>
      <c r="E73" t="s">
        <v>100</v>
      </c>
      <c r="F73" t="s">
        <v>256</v>
      </c>
      <c r="G73">
        <v>4</v>
      </c>
      <c r="H73">
        <v>4</v>
      </c>
      <c r="I73">
        <v>26</v>
      </c>
      <c r="J73" t="b">
        <v>0</v>
      </c>
      <c r="L73">
        <v>34</v>
      </c>
      <c r="M73">
        <v>9.8000000000000007</v>
      </c>
      <c r="N73" t="s">
        <v>1107</v>
      </c>
      <c r="O73">
        <v>66.8</v>
      </c>
      <c r="P73">
        <v>6.87</v>
      </c>
      <c r="Q73" t="s">
        <v>1110</v>
      </c>
    </row>
    <row r="74" spans="1:17">
      <c r="A74" s="2">
        <v>45880</v>
      </c>
      <c r="B74">
        <v>4</v>
      </c>
      <c r="C74">
        <v>13</v>
      </c>
      <c r="D74" t="s">
        <v>22</v>
      </c>
      <c r="E74" t="s">
        <v>101</v>
      </c>
      <c r="F74" t="s">
        <v>257</v>
      </c>
      <c r="G74">
        <v>3</v>
      </c>
      <c r="H74">
        <v>3</v>
      </c>
      <c r="I74">
        <v>26</v>
      </c>
      <c r="J74" t="b">
        <v>0</v>
      </c>
      <c r="L74">
        <v>34</v>
      </c>
      <c r="M74">
        <v>10</v>
      </c>
      <c r="N74" t="s">
        <v>1107</v>
      </c>
      <c r="O74">
        <v>61.2</v>
      </c>
      <c r="P74">
        <v>6.6</v>
      </c>
      <c r="Q74" t="s">
        <v>1110</v>
      </c>
    </row>
    <row r="75" spans="1:17">
      <c r="A75" s="2">
        <v>45880</v>
      </c>
      <c r="B75">
        <v>4</v>
      </c>
      <c r="C75">
        <v>14</v>
      </c>
      <c r="D75" t="s">
        <v>23</v>
      </c>
      <c r="E75" t="s">
        <v>102</v>
      </c>
      <c r="F75" t="s">
        <v>258</v>
      </c>
      <c r="G75">
        <v>5</v>
      </c>
      <c r="H75">
        <v>0</v>
      </c>
      <c r="I75">
        <v>31</v>
      </c>
      <c r="J75" t="b">
        <v>0</v>
      </c>
      <c r="L75">
        <v>34</v>
      </c>
      <c r="N75" t="s">
        <v>1107</v>
      </c>
      <c r="O75">
        <v>66.7</v>
      </c>
      <c r="P75">
        <v>7.15</v>
      </c>
      <c r="Q75" t="s">
        <v>1110</v>
      </c>
    </row>
    <row r="76" spans="1:17">
      <c r="A76" s="2">
        <v>45880</v>
      </c>
      <c r="B76">
        <v>4</v>
      </c>
      <c r="C76">
        <v>15</v>
      </c>
      <c r="D76" t="s">
        <v>24</v>
      </c>
      <c r="E76" t="s">
        <v>103</v>
      </c>
      <c r="F76" t="s">
        <v>259</v>
      </c>
      <c r="G76">
        <v>3</v>
      </c>
      <c r="H76">
        <v>3</v>
      </c>
      <c r="I76">
        <v>31</v>
      </c>
      <c r="J76" t="b">
        <v>0</v>
      </c>
      <c r="L76">
        <v>34</v>
      </c>
      <c r="M76">
        <v>10</v>
      </c>
      <c r="N76" t="s">
        <v>1107</v>
      </c>
      <c r="O76">
        <v>63.8</v>
      </c>
      <c r="P76">
        <v>6.48</v>
      </c>
      <c r="Q76" t="s">
        <v>1110</v>
      </c>
    </row>
    <row r="77" spans="1:17">
      <c r="A77" s="2">
        <v>45880</v>
      </c>
      <c r="B77">
        <v>4</v>
      </c>
      <c r="C77">
        <v>16</v>
      </c>
      <c r="D77" t="s">
        <v>1273</v>
      </c>
      <c r="E77" t="s">
        <v>104</v>
      </c>
      <c r="F77" t="s">
        <v>260</v>
      </c>
      <c r="G77">
        <v>0</v>
      </c>
      <c r="H77">
        <v>5</v>
      </c>
      <c r="I77">
        <v>26</v>
      </c>
      <c r="J77" t="b">
        <v>0</v>
      </c>
      <c r="L77">
        <v>34</v>
      </c>
      <c r="M77">
        <v>10</v>
      </c>
      <c r="N77" t="s">
        <v>1107</v>
      </c>
      <c r="O77">
        <v>80</v>
      </c>
      <c r="P77">
        <v>7.99</v>
      </c>
      <c r="Q77" t="s">
        <v>1110</v>
      </c>
    </row>
    <row r="78" spans="1:17">
      <c r="A78" s="2">
        <v>45880</v>
      </c>
      <c r="B78">
        <v>4</v>
      </c>
      <c r="C78">
        <v>17</v>
      </c>
      <c r="D78" t="s">
        <v>25</v>
      </c>
      <c r="E78" t="s">
        <v>105</v>
      </c>
      <c r="F78" t="s">
        <v>261</v>
      </c>
      <c r="G78">
        <v>0</v>
      </c>
      <c r="H78">
        <v>5</v>
      </c>
      <c r="I78">
        <v>21</v>
      </c>
      <c r="J78" t="b">
        <v>0</v>
      </c>
      <c r="K78" t="s">
        <v>1104</v>
      </c>
      <c r="L78">
        <v>34</v>
      </c>
      <c r="M78">
        <v>5.2</v>
      </c>
      <c r="N78" t="s">
        <v>1107</v>
      </c>
      <c r="O78">
        <v>68.3</v>
      </c>
      <c r="P78">
        <v>7.53</v>
      </c>
      <c r="Q78" t="s">
        <v>1112</v>
      </c>
    </row>
    <row r="79" spans="1:17">
      <c r="A79" s="2">
        <v>45880</v>
      </c>
      <c r="B79">
        <v>4</v>
      </c>
      <c r="C79">
        <v>18</v>
      </c>
      <c r="D79" t="s">
        <v>26</v>
      </c>
      <c r="E79" t="s">
        <v>106</v>
      </c>
      <c r="F79" t="s">
        <v>262</v>
      </c>
      <c r="G79">
        <v>2</v>
      </c>
      <c r="H79">
        <v>5</v>
      </c>
      <c r="I79">
        <v>18</v>
      </c>
      <c r="J79" t="b">
        <v>0</v>
      </c>
      <c r="K79" t="s">
        <v>1104</v>
      </c>
      <c r="L79">
        <v>34</v>
      </c>
      <c r="M79">
        <v>5.4</v>
      </c>
      <c r="N79" t="s">
        <v>1107</v>
      </c>
      <c r="O79">
        <v>79.400000000000006</v>
      </c>
      <c r="P79">
        <v>5.21</v>
      </c>
      <c r="Q79" t="s">
        <v>1110</v>
      </c>
    </row>
    <row r="80" spans="1:17">
      <c r="A80" s="2">
        <v>45880</v>
      </c>
      <c r="B80">
        <v>4</v>
      </c>
      <c r="C80">
        <v>19</v>
      </c>
      <c r="D80" t="s">
        <v>27</v>
      </c>
      <c r="E80" t="s">
        <v>107</v>
      </c>
      <c r="F80" t="s">
        <v>263</v>
      </c>
      <c r="G80">
        <v>1</v>
      </c>
      <c r="H80">
        <v>0</v>
      </c>
      <c r="I80">
        <v>19</v>
      </c>
      <c r="J80" t="b">
        <v>0</v>
      </c>
      <c r="K80" t="s">
        <v>1104</v>
      </c>
      <c r="L80">
        <v>34</v>
      </c>
      <c r="N80" t="s">
        <v>1107</v>
      </c>
      <c r="O80">
        <v>81</v>
      </c>
      <c r="P80">
        <v>7.45</v>
      </c>
      <c r="Q80" t="s">
        <v>1111</v>
      </c>
    </row>
    <row r="81" spans="1:17">
      <c r="A81" s="2">
        <v>45880</v>
      </c>
      <c r="B81">
        <v>4</v>
      </c>
      <c r="C81">
        <v>20</v>
      </c>
      <c r="D81" t="s">
        <v>28</v>
      </c>
      <c r="E81" t="s">
        <v>108</v>
      </c>
      <c r="F81" t="s">
        <v>264</v>
      </c>
      <c r="G81">
        <v>3</v>
      </c>
      <c r="H81">
        <v>4</v>
      </c>
      <c r="I81">
        <v>18</v>
      </c>
      <c r="J81" t="b">
        <v>0</v>
      </c>
      <c r="K81" t="s">
        <v>1104</v>
      </c>
      <c r="L81">
        <v>34</v>
      </c>
      <c r="M81">
        <v>5.2</v>
      </c>
      <c r="N81" t="s">
        <v>1107</v>
      </c>
      <c r="O81">
        <v>79.2</v>
      </c>
      <c r="P81">
        <v>5.75</v>
      </c>
      <c r="Q81" t="s">
        <v>1110</v>
      </c>
    </row>
    <row r="82" spans="1:17">
      <c r="A82" s="2">
        <v>45880</v>
      </c>
      <c r="B82">
        <v>5</v>
      </c>
      <c r="C82">
        <v>1</v>
      </c>
      <c r="D82" t="s">
        <v>17</v>
      </c>
      <c r="E82" t="s">
        <v>109</v>
      </c>
      <c r="F82" t="s">
        <v>265</v>
      </c>
      <c r="G82">
        <v>0</v>
      </c>
      <c r="H82">
        <v>0</v>
      </c>
      <c r="I82">
        <v>0</v>
      </c>
      <c r="J82" t="b">
        <v>0</v>
      </c>
      <c r="L82">
        <v>35</v>
      </c>
      <c r="N82" t="s">
        <v>1107</v>
      </c>
      <c r="O82">
        <v>78.400000000000006</v>
      </c>
      <c r="P82">
        <v>5.0999999999999996</v>
      </c>
      <c r="Q82" t="s">
        <v>1110</v>
      </c>
    </row>
    <row r="83" spans="1:17">
      <c r="A83" s="2">
        <v>45880</v>
      </c>
      <c r="B83">
        <v>5</v>
      </c>
      <c r="C83">
        <v>2</v>
      </c>
      <c r="D83" t="s">
        <v>1269</v>
      </c>
      <c r="E83" t="s">
        <v>110</v>
      </c>
      <c r="F83" t="s">
        <v>266</v>
      </c>
      <c r="G83">
        <v>1</v>
      </c>
      <c r="H83">
        <v>0</v>
      </c>
      <c r="I83">
        <v>1</v>
      </c>
      <c r="J83" t="b">
        <v>0</v>
      </c>
      <c r="L83">
        <v>35</v>
      </c>
      <c r="N83" t="s">
        <v>1107</v>
      </c>
      <c r="O83">
        <v>73</v>
      </c>
      <c r="P83">
        <v>7.95</v>
      </c>
      <c r="Q83" t="s">
        <v>1110</v>
      </c>
    </row>
    <row r="84" spans="1:17">
      <c r="A84" s="2">
        <v>45880</v>
      </c>
      <c r="B84">
        <v>5</v>
      </c>
      <c r="C84">
        <v>3</v>
      </c>
      <c r="D84" t="s">
        <v>18</v>
      </c>
      <c r="E84" t="s">
        <v>111</v>
      </c>
      <c r="F84" t="s">
        <v>267</v>
      </c>
      <c r="G84">
        <v>3</v>
      </c>
      <c r="H84">
        <v>0</v>
      </c>
      <c r="I84">
        <v>4</v>
      </c>
      <c r="J84" t="b">
        <v>0</v>
      </c>
      <c r="L84">
        <v>35</v>
      </c>
      <c r="N84" t="s">
        <v>1107</v>
      </c>
      <c r="O84">
        <v>67.8</v>
      </c>
      <c r="P84">
        <v>5.97</v>
      </c>
      <c r="Q84" t="s">
        <v>1110</v>
      </c>
    </row>
    <row r="85" spans="1:17">
      <c r="A85" s="2">
        <v>45880</v>
      </c>
      <c r="B85">
        <v>5</v>
      </c>
      <c r="C85">
        <v>4</v>
      </c>
      <c r="D85" t="s">
        <v>19</v>
      </c>
      <c r="E85" t="s">
        <v>112</v>
      </c>
      <c r="F85" t="s">
        <v>268</v>
      </c>
      <c r="G85">
        <v>0</v>
      </c>
      <c r="H85">
        <v>4</v>
      </c>
      <c r="I85">
        <v>0</v>
      </c>
      <c r="J85" t="b">
        <v>0</v>
      </c>
      <c r="L85">
        <v>35</v>
      </c>
      <c r="M85">
        <v>6.7</v>
      </c>
      <c r="N85" t="s">
        <v>1107</v>
      </c>
      <c r="O85">
        <v>83.4</v>
      </c>
      <c r="P85">
        <v>6.56</v>
      </c>
      <c r="Q85" t="s">
        <v>1110</v>
      </c>
    </row>
    <row r="86" spans="1:17">
      <c r="A86" s="2">
        <v>45880</v>
      </c>
      <c r="B86">
        <v>5</v>
      </c>
      <c r="C86">
        <v>5</v>
      </c>
      <c r="D86" t="s">
        <v>1115</v>
      </c>
      <c r="E86" t="s">
        <v>113</v>
      </c>
      <c r="F86" t="s">
        <v>269</v>
      </c>
      <c r="G86">
        <v>0</v>
      </c>
      <c r="H86">
        <v>0</v>
      </c>
      <c r="I86">
        <v>0</v>
      </c>
      <c r="J86" t="b">
        <v>0</v>
      </c>
      <c r="L86">
        <v>35</v>
      </c>
      <c r="N86" t="s">
        <v>1107</v>
      </c>
      <c r="O86">
        <v>65</v>
      </c>
      <c r="P86">
        <v>7.66</v>
      </c>
      <c r="Q86" t="s">
        <v>1111</v>
      </c>
    </row>
    <row r="87" spans="1:17">
      <c r="A87" s="2">
        <v>45880</v>
      </c>
      <c r="B87">
        <v>5</v>
      </c>
      <c r="C87">
        <v>6</v>
      </c>
      <c r="D87" t="s">
        <v>1270</v>
      </c>
      <c r="E87" t="s">
        <v>114</v>
      </c>
      <c r="F87" t="s">
        <v>270</v>
      </c>
      <c r="G87">
        <v>1</v>
      </c>
      <c r="H87">
        <v>0</v>
      </c>
      <c r="I87">
        <v>1</v>
      </c>
      <c r="J87" t="b">
        <v>0</v>
      </c>
      <c r="L87">
        <v>35</v>
      </c>
      <c r="N87" t="s">
        <v>1107</v>
      </c>
      <c r="O87">
        <v>62.8</v>
      </c>
      <c r="P87">
        <v>6.9</v>
      </c>
      <c r="Q87" t="s">
        <v>1110</v>
      </c>
    </row>
    <row r="88" spans="1:17">
      <c r="A88" s="2">
        <v>45880</v>
      </c>
      <c r="B88">
        <v>5</v>
      </c>
      <c r="C88">
        <v>7</v>
      </c>
      <c r="D88" t="s">
        <v>1114</v>
      </c>
      <c r="E88" t="s">
        <v>115</v>
      </c>
      <c r="F88" t="s">
        <v>271</v>
      </c>
      <c r="G88">
        <v>1</v>
      </c>
      <c r="H88">
        <v>1</v>
      </c>
      <c r="I88">
        <v>1</v>
      </c>
      <c r="J88" t="b">
        <v>0</v>
      </c>
      <c r="L88">
        <v>35</v>
      </c>
      <c r="M88">
        <v>7.6</v>
      </c>
      <c r="N88" t="s">
        <v>1107</v>
      </c>
      <c r="O88">
        <v>66.900000000000006</v>
      </c>
      <c r="P88">
        <v>5.36</v>
      </c>
      <c r="Q88" t="s">
        <v>1110</v>
      </c>
    </row>
    <row r="89" spans="1:17">
      <c r="A89" s="2">
        <v>45880</v>
      </c>
      <c r="B89">
        <v>5</v>
      </c>
      <c r="C89">
        <v>8</v>
      </c>
      <c r="D89" t="s">
        <v>1271</v>
      </c>
      <c r="E89" t="s">
        <v>116</v>
      </c>
      <c r="F89" t="s">
        <v>116</v>
      </c>
      <c r="G89">
        <v>1</v>
      </c>
      <c r="H89">
        <v>0</v>
      </c>
      <c r="I89">
        <v>2</v>
      </c>
      <c r="J89" t="b">
        <v>0</v>
      </c>
      <c r="L89">
        <v>35</v>
      </c>
      <c r="N89" t="s">
        <v>1107</v>
      </c>
      <c r="O89">
        <v>61</v>
      </c>
      <c r="P89">
        <v>7.35</v>
      </c>
      <c r="Q89" t="s">
        <v>1110</v>
      </c>
    </row>
    <row r="90" spans="1:17">
      <c r="A90" s="2">
        <v>45880</v>
      </c>
      <c r="B90">
        <v>5</v>
      </c>
      <c r="C90">
        <v>9</v>
      </c>
      <c r="D90" t="s">
        <v>20</v>
      </c>
      <c r="E90" t="s">
        <v>117</v>
      </c>
      <c r="F90" t="s">
        <v>272</v>
      </c>
      <c r="G90">
        <v>2</v>
      </c>
      <c r="H90">
        <v>1</v>
      </c>
      <c r="I90">
        <v>3</v>
      </c>
      <c r="J90" t="b">
        <v>0</v>
      </c>
      <c r="L90">
        <v>35</v>
      </c>
      <c r="M90">
        <v>8.1</v>
      </c>
      <c r="N90" t="s">
        <v>1107</v>
      </c>
      <c r="O90">
        <v>69.3</v>
      </c>
      <c r="P90">
        <v>5.27</v>
      </c>
      <c r="Q90" t="s">
        <v>1110</v>
      </c>
    </row>
    <row r="91" spans="1:17">
      <c r="A91" s="2">
        <v>45880</v>
      </c>
      <c r="B91">
        <v>5</v>
      </c>
      <c r="C91">
        <v>10</v>
      </c>
      <c r="D91" t="s">
        <v>1113</v>
      </c>
      <c r="E91" t="s">
        <v>118</v>
      </c>
      <c r="F91" t="s">
        <v>273</v>
      </c>
      <c r="G91">
        <v>2</v>
      </c>
      <c r="H91">
        <v>3</v>
      </c>
      <c r="I91">
        <v>2</v>
      </c>
      <c r="J91" t="b">
        <v>0</v>
      </c>
      <c r="L91">
        <v>35</v>
      </c>
      <c r="M91">
        <v>7.8</v>
      </c>
      <c r="N91" t="s">
        <v>1107</v>
      </c>
      <c r="O91">
        <v>75.5</v>
      </c>
      <c r="P91">
        <v>7.79</v>
      </c>
      <c r="Q91" t="s">
        <v>1112</v>
      </c>
    </row>
    <row r="92" spans="1:17">
      <c r="A92" s="2">
        <v>45880</v>
      </c>
      <c r="B92">
        <v>5</v>
      </c>
      <c r="C92">
        <v>11</v>
      </c>
      <c r="D92" t="s">
        <v>1272</v>
      </c>
      <c r="E92" t="s">
        <v>119</v>
      </c>
      <c r="F92" t="s">
        <v>274</v>
      </c>
      <c r="G92">
        <v>4</v>
      </c>
      <c r="H92">
        <v>2</v>
      </c>
      <c r="I92">
        <v>4</v>
      </c>
      <c r="J92" t="b">
        <v>0</v>
      </c>
      <c r="L92">
        <v>35</v>
      </c>
      <c r="M92">
        <v>8</v>
      </c>
      <c r="N92" t="s">
        <v>1107</v>
      </c>
      <c r="O92">
        <v>61.5</v>
      </c>
      <c r="P92">
        <v>6.93</v>
      </c>
      <c r="Q92" t="s">
        <v>1110</v>
      </c>
    </row>
    <row r="93" spans="1:17">
      <c r="A93" s="2">
        <v>45880</v>
      </c>
      <c r="B93">
        <v>5</v>
      </c>
      <c r="C93">
        <v>12</v>
      </c>
      <c r="D93" t="s">
        <v>21</v>
      </c>
      <c r="E93" t="s">
        <v>120</v>
      </c>
      <c r="F93" t="s">
        <v>275</v>
      </c>
      <c r="G93">
        <v>1</v>
      </c>
      <c r="H93">
        <v>3</v>
      </c>
      <c r="I93">
        <v>2</v>
      </c>
      <c r="J93" t="b">
        <v>0</v>
      </c>
      <c r="L93">
        <v>35</v>
      </c>
      <c r="M93">
        <v>7.9</v>
      </c>
      <c r="N93" t="s">
        <v>1107</v>
      </c>
      <c r="O93">
        <v>63.1</v>
      </c>
      <c r="P93">
        <v>5.7</v>
      </c>
      <c r="Q93" t="s">
        <v>1112</v>
      </c>
    </row>
    <row r="94" spans="1:17">
      <c r="A94" s="2">
        <v>45880</v>
      </c>
      <c r="B94">
        <v>5</v>
      </c>
      <c r="C94">
        <v>13</v>
      </c>
      <c r="D94" t="s">
        <v>22</v>
      </c>
      <c r="E94" t="s">
        <v>121</v>
      </c>
      <c r="F94" t="s">
        <v>276</v>
      </c>
      <c r="G94">
        <v>0</v>
      </c>
      <c r="H94">
        <v>0</v>
      </c>
      <c r="I94">
        <v>2</v>
      </c>
      <c r="J94" t="b">
        <v>0</v>
      </c>
      <c r="L94">
        <v>35</v>
      </c>
      <c r="N94" t="s">
        <v>1107</v>
      </c>
      <c r="O94">
        <v>78.900000000000006</v>
      </c>
      <c r="P94">
        <v>7.42</v>
      </c>
      <c r="Q94" t="s">
        <v>1110</v>
      </c>
    </row>
    <row r="95" spans="1:17">
      <c r="A95" s="2">
        <v>45880</v>
      </c>
      <c r="B95">
        <v>5</v>
      </c>
      <c r="C95">
        <v>14</v>
      </c>
      <c r="D95" t="s">
        <v>23</v>
      </c>
      <c r="E95" t="s">
        <v>122</v>
      </c>
      <c r="F95" t="s">
        <v>277</v>
      </c>
      <c r="G95">
        <v>0</v>
      </c>
      <c r="H95">
        <v>2</v>
      </c>
      <c r="I95">
        <v>0</v>
      </c>
      <c r="J95" t="b">
        <v>0</v>
      </c>
      <c r="L95">
        <v>35</v>
      </c>
      <c r="M95">
        <v>8</v>
      </c>
      <c r="N95" t="s">
        <v>1107</v>
      </c>
      <c r="O95">
        <v>77.2</v>
      </c>
      <c r="P95">
        <v>6.07</v>
      </c>
      <c r="Q95" t="s">
        <v>1110</v>
      </c>
    </row>
    <row r="96" spans="1:17">
      <c r="A96" s="2">
        <v>45880</v>
      </c>
      <c r="B96">
        <v>5</v>
      </c>
      <c r="C96">
        <v>15</v>
      </c>
      <c r="D96" t="s">
        <v>24</v>
      </c>
      <c r="E96" t="s">
        <v>123</v>
      </c>
      <c r="F96" t="s">
        <v>278</v>
      </c>
      <c r="G96">
        <v>0</v>
      </c>
      <c r="H96">
        <v>0</v>
      </c>
      <c r="I96">
        <v>0</v>
      </c>
      <c r="J96" t="b">
        <v>0</v>
      </c>
      <c r="L96">
        <v>35</v>
      </c>
      <c r="N96" t="s">
        <v>1107</v>
      </c>
      <c r="O96">
        <v>72.099999999999994</v>
      </c>
      <c r="P96">
        <v>6.31</v>
      </c>
      <c r="Q96" t="s">
        <v>1110</v>
      </c>
    </row>
    <row r="97" spans="1:17">
      <c r="A97" s="2">
        <v>45880</v>
      </c>
      <c r="B97">
        <v>5</v>
      </c>
      <c r="C97">
        <v>16</v>
      </c>
      <c r="D97" t="s">
        <v>1273</v>
      </c>
      <c r="E97" t="s">
        <v>124</v>
      </c>
      <c r="F97" t="s">
        <v>279</v>
      </c>
      <c r="G97">
        <v>0</v>
      </c>
      <c r="H97">
        <v>0</v>
      </c>
      <c r="I97">
        <v>0</v>
      </c>
      <c r="J97" t="b">
        <v>0</v>
      </c>
      <c r="L97">
        <v>35</v>
      </c>
      <c r="N97" t="s">
        <v>1107</v>
      </c>
      <c r="O97">
        <v>64.7</v>
      </c>
      <c r="P97">
        <v>5.56</v>
      </c>
      <c r="Q97" t="s">
        <v>1110</v>
      </c>
    </row>
    <row r="98" spans="1:17">
      <c r="A98" s="2">
        <v>45880</v>
      </c>
      <c r="B98">
        <v>5</v>
      </c>
      <c r="C98">
        <v>17</v>
      </c>
      <c r="D98" t="s">
        <v>25</v>
      </c>
      <c r="E98" t="s">
        <v>125</v>
      </c>
      <c r="F98" t="s">
        <v>280</v>
      </c>
      <c r="G98">
        <v>1</v>
      </c>
      <c r="H98">
        <v>0</v>
      </c>
      <c r="I98">
        <v>1</v>
      </c>
      <c r="J98" t="b">
        <v>0</v>
      </c>
      <c r="K98" t="s">
        <v>1104</v>
      </c>
      <c r="L98">
        <v>35</v>
      </c>
      <c r="N98" t="s">
        <v>1107</v>
      </c>
      <c r="O98">
        <v>66.900000000000006</v>
      </c>
      <c r="P98">
        <v>7.49</v>
      </c>
      <c r="Q98" t="s">
        <v>1111</v>
      </c>
    </row>
    <row r="99" spans="1:17">
      <c r="A99" s="2">
        <v>45880</v>
      </c>
      <c r="B99">
        <v>5</v>
      </c>
      <c r="C99">
        <v>18</v>
      </c>
      <c r="D99" t="s">
        <v>26</v>
      </c>
      <c r="E99" t="s">
        <v>126</v>
      </c>
      <c r="F99" t="s">
        <v>281</v>
      </c>
      <c r="G99">
        <v>5</v>
      </c>
      <c r="H99">
        <v>0</v>
      </c>
      <c r="I99">
        <v>6</v>
      </c>
      <c r="J99" t="b">
        <v>0</v>
      </c>
      <c r="K99" t="s">
        <v>1104</v>
      </c>
      <c r="L99">
        <v>35</v>
      </c>
      <c r="N99" t="s">
        <v>1107</v>
      </c>
      <c r="O99">
        <v>61.7</v>
      </c>
      <c r="P99">
        <v>5.47</v>
      </c>
      <c r="Q99" t="s">
        <v>1110</v>
      </c>
    </row>
    <row r="100" spans="1:17">
      <c r="A100" s="2">
        <v>45880</v>
      </c>
      <c r="B100">
        <v>5</v>
      </c>
      <c r="C100">
        <v>19</v>
      </c>
      <c r="D100" t="s">
        <v>27</v>
      </c>
      <c r="E100" t="s">
        <v>127</v>
      </c>
      <c r="F100" t="s">
        <v>282</v>
      </c>
      <c r="G100">
        <v>0</v>
      </c>
      <c r="H100">
        <v>3</v>
      </c>
      <c r="I100">
        <v>3</v>
      </c>
      <c r="J100" t="b">
        <v>0</v>
      </c>
      <c r="K100" t="s">
        <v>1104</v>
      </c>
      <c r="L100">
        <v>35</v>
      </c>
      <c r="M100">
        <v>4.0999999999999996</v>
      </c>
      <c r="N100" t="s">
        <v>1107</v>
      </c>
      <c r="O100">
        <v>69.2</v>
      </c>
      <c r="P100">
        <v>5</v>
      </c>
      <c r="Q100" t="s">
        <v>1110</v>
      </c>
    </row>
    <row r="101" spans="1:17">
      <c r="A101" s="2">
        <v>45880</v>
      </c>
      <c r="B101">
        <v>5</v>
      </c>
      <c r="C101">
        <v>20</v>
      </c>
      <c r="D101" t="s">
        <v>28</v>
      </c>
      <c r="E101" t="s">
        <v>128</v>
      </c>
      <c r="F101" t="s">
        <v>283</v>
      </c>
      <c r="G101">
        <v>4</v>
      </c>
      <c r="H101">
        <v>1</v>
      </c>
      <c r="I101">
        <v>6</v>
      </c>
      <c r="J101" t="b">
        <v>0</v>
      </c>
      <c r="K101" t="s">
        <v>1104</v>
      </c>
      <c r="L101">
        <v>35</v>
      </c>
      <c r="M101">
        <v>4</v>
      </c>
      <c r="N101" t="s">
        <v>1107</v>
      </c>
      <c r="O101">
        <v>64.599999999999994</v>
      </c>
      <c r="P101">
        <v>5.0599999999999996</v>
      </c>
      <c r="Q101" t="s">
        <v>1111</v>
      </c>
    </row>
    <row r="102" spans="1:17">
      <c r="A102" s="2">
        <v>45880</v>
      </c>
      <c r="B102">
        <v>6</v>
      </c>
      <c r="C102">
        <v>1</v>
      </c>
      <c r="D102" t="s">
        <v>17</v>
      </c>
      <c r="E102" t="s">
        <v>129</v>
      </c>
      <c r="F102" t="s">
        <v>284</v>
      </c>
      <c r="G102">
        <v>0</v>
      </c>
      <c r="H102">
        <v>0</v>
      </c>
      <c r="I102">
        <v>0</v>
      </c>
      <c r="J102" t="b">
        <v>0</v>
      </c>
      <c r="L102">
        <v>36</v>
      </c>
      <c r="N102" t="s">
        <v>1107</v>
      </c>
      <c r="O102">
        <v>66</v>
      </c>
      <c r="P102">
        <v>7.16</v>
      </c>
      <c r="Q102" t="s">
        <v>1110</v>
      </c>
    </row>
    <row r="103" spans="1:17">
      <c r="A103" s="2">
        <v>45880</v>
      </c>
      <c r="B103">
        <v>6</v>
      </c>
      <c r="C103">
        <v>2</v>
      </c>
      <c r="D103" t="s">
        <v>1269</v>
      </c>
      <c r="E103" t="s">
        <v>130</v>
      </c>
      <c r="F103" t="s">
        <v>285</v>
      </c>
      <c r="G103">
        <v>2</v>
      </c>
      <c r="H103">
        <v>0</v>
      </c>
      <c r="I103">
        <v>2</v>
      </c>
      <c r="J103" t="b">
        <v>0</v>
      </c>
      <c r="L103">
        <v>36</v>
      </c>
      <c r="N103" t="s">
        <v>1107</v>
      </c>
      <c r="O103">
        <v>69.7</v>
      </c>
      <c r="P103">
        <v>6.57</v>
      </c>
      <c r="Q103" t="s">
        <v>1110</v>
      </c>
    </row>
    <row r="104" spans="1:17">
      <c r="A104" s="2">
        <v>45880</v>
      </c>
      <c r="B104">
        <v>6</v>
      </c>
      <c r="C104">
        <v>3</v>
      </c>
      <c r="D104" t="s">
        <v>18</v>
      </c>
      <c r="E104" t="s">
        <v>131</v>
      </c>
      <c r="F104" t="s">
        <v>286</v>
      </c>
      <c r="G104">
        <v>2</v>
      </c>
      <c r="H104">
        <v>2</v>
      </c>
      <c r="I104">
        <v>2</v>
      </c>
      <c r="J104" t="b">
        <v>0</v>
      </c>
      <c r="L104">
        <v>36</v>
      </c>
      <c r="M104" t="s">
        <v>1212</v>
      </c>
      <c r="N104" t="s">
        <v>1107</v>
      </c>
      <c r="O104">
        <v>75.3</v>
      </c>
      <c r="P104">
        <v>5.97</v>
      </c>
      <c r="Q104" t="s">
        <v>1110</v>
      </c>
    </row>
    <row r="105" spans="1:17">
      <c r="A105" s="2">
        <v>45880</v>
      </c>
      <c r="B105">
        <v>6</v>
      </c>
      <c r="C105">
        <v>4</v>
      </c>
      <c r="D105" t="s">
        <v>19</v>
      </c>
      <c r="E105" t="s">
        <v>132</v>
      </c>
      <c r="F105" t="s">
        <v>287</v>
      </c>
      <c r="G105">
        <v>1</v>
      </c>
      <c r="H105">
        <v>1</v>
      </c>
      <c r="I105">
        <v>2</v>
      </c>
      <c r="J105" t="b">
        <v>0</v>
      </c>
      <c r="L105">
        <v>36</v>
      </c>
      <c r="M105" t="s">
        <v>1213</v>
      </c>
      <c r="N105" t="s">
        <v>1107</v>
      </c>
      <c r="O105">
        <v>73.099999999999994</v>
      </c>
      <c r="P105">
        <v>5.2</v>
      </c>
      <c r="Q105" t="s">
        <v>1111</v>
      </c>
    </row>
    <row r="106" spans="1:17">
      <c r="A106" s="2">
        <v>45880</v>
      </c>
      <c r="B106">
        <v>6</v>
      </c>
      <c r="C106">
        <v>5</v>
      </c>
      <c r="D106" t="s">
        <v>1115</v>
      </c>
      <c r="E106" t="s">
        <v>133</v>
      </c>
      <c r="F106" t="s">
        <v>288</v>
      </c>
      <c r="G106">
        <v>3</v>
      </c>
      <c r="H106">
        <v>1</v>
      </c>
      <c r="I106">
        <v>4</v>
      </c>
      <c r="J106" t="b">
        <v>0</v>
      </c>
      <c r="L106">
        <v>36</v>
      </c>
      <c r="M106" t="s">
        <v>1214</v>
      </c>
      <c r="N106" t="s">
        <v>1107</v>
      </c>
      <c r="O106">
        <v>81.8</v>
      </c>
      <c r="P106">
        <v>5.61</v>
      </c>
      <c r="Q106" t="s">
        <v>1110</v>
      </c>
    </row>
    <row r="107" spans="1:17">
      <c r="A107" s="2">
        <v>45880</v>
      </c>
      <c r="B107">
        <v>6</v>
      </c>
      <c r="C107">
        <v>6</v>
      </c>
      <c r="D107" t="s">
        <v>1270</v>
      </c>
      <c r="E107" t="s">
        <v>134</v>
      </c>
      <c r="F107" t="s">
        <v>289</v>
      </c>
      <c r="G107">
        <v>0</v>
      </c>
      <c r="H107">
        <v>0</v>
      </c>
      <c r="I107">
        <v>4</v>
      </c>
      <c r="J107" t="b">
        <v>0</v>
      </c>
      <c r="L107">
        <v>36</v>
      </c>
      <c r="N107" t="s">
        <v>1107</v>
      </c>
      <c r="O107">
        <v>74.3</v>
      </c>
      <c r="P107">
        <v>7.51</v>
      </c>
      <c r="Q107" t="s">
        <v>1110</v>
      </c>
    </row>
    <row r="108" spans="1:17">
      <c r="A108" s="2">
        <v>45880</v>
      </c>
      <c r="B108">
        <v>6</v>
      </c>
      <c r="C108">
        <v>7</v>
      </c>
      <c r="D108" t="s">
        <v>1114</v>
      </c>
      <c r="E108" t="s">
        <v>135</v>
      </c>
      <c r="F108" t="s">
        <v>290</v>
      </c>
      <c r="G108">
        <v>0</v>
      </c>
      <c r="H108">
        <v>4</v>
      </c>
      <c r="I108">
        <v>0</v>
      </c>
      <c r="J108" t="b">
        <v>0</v>
      </c>
      <c r="L108">
        <v>36</v>
      </c>
      <c r="M108">
        <v>10</v>
      </c>
      <c r="N108" t="s">
        <v>1107</v>
      </c>
      <c r="O108">
        <v>77.5</v>
      </c>
      <c r="P108">
        <v>5.77</v>
      </c>
      <c r="Q108" t="s">
        <v>1110</v>
      </c>
    </row>
    <row r="109" spans="1:17">
      <c r="A109" s="2">
        <v>45880</v>
      </c>
      <c r="B109">
        <v>6</v>
      </c>
      <c r="C109">
        <v>8</v>
      </c>
      <c r="D109" t="s">
        <v>1271</v>
      </c>
      <c r="E109" t="s">
        <v>136</v>
      </c>
      <c r="F109" t="s">
        <v>291</v>
      </c>
      <c r="G109">
        <v>4</v>
      </c>
      <c r="H109">
        <v>0</v>
      </c>
      <c r="I109">
        <v>4</v>
      </c>
      <c r="J109" t="b">
        <v>0</v>
      </c>
      <c r="L109">
        <v>36</v>
      </c>
      <c r="N109" t="s">
        <v>1107</v>
      </c>
      <c r="O109">
        <v>61.8</v>
      </c>
      <c r="P109">
        <v>7.79</v>
      </c>
      <c r="Q109" t="s">
        <v>1110</v>
      </c>
    </row>
    <row r="110" spans="1:17">
      <c r="A110" s="2">
        <v>45880</v>
      </c>
      <c r="B110">
        <v>6</v>
      </c>
      <c r="C110">
        <v>9</v>
      </c>
      <c r="D110" t="s">
        <v>20</v>
      </c>
      <c r="E110" t="s">
        <v>137</v>
      </c>
      <c r="F110" t="s">
        <v>292</v>
      </c>
      <c r="G110">
        <v>0</v>
      </c>
      <c r="H110">
        <v>2</v>
      </c>
      <c r="I110">
        <v>2</v>
      </c>
      <c r="J110" t="b">
        <v>0</v>
      </c>
      <c r="L110">
        <v>36</v>
      </c>
      <c r="M110" t="s">
        <v>1206</v>
      </c>
      <c r="N110" t="s">
        <v>1107</v>
      </c>
      <c r="O110">
        <v>82.2</v>
      </c>
      <c r="P110">
        <v>5.24</v>
      </c>
      <c r="Q110" t="s">
        <v>1111</v>
      </c>
    </row>
    <row r="111" spans="1:17">
      <c r="A111" s="2">
        <v>45880</v>
      </c>
      <c r="B111">
        <v>6</v>
      </c>
      <c r="C111">
        <v>10</v>
      </c>
      <c r="D111" t="s">
        <v>1113</v>
      </c>
      <c r="E111" t="s">
        <v>138</v>
      </c>
      <c r="F111" t="s">
        <v>293</v>
      </c>
      <c r="G111">
        <v>2</v>
      </c>
      <c r="H111">
        <v>1</v>
      </c>
      <c r="I111">
        <v>3</v>
      </c>
      <c r="J111" t="b">
        <v>0</v>
      </c>
      <c r="L111">
        <v>36</v>
      </c>
      <c r="M111" t="s">
        <v>1204</v>
      </c>
      <c r="N111" t="s">
        <v>1107</v>
      </c>
      <c r="O111">
        <v>74</v>
      </c>
      <c r="P111">
        <v>7.81</v>
      </c>
      <c r="Q111" t="s">
        <v>1110</v>
      </c>
    </row>
    <row r="112" spans="1:17">
      <c r="A112" s="2">
        <v>45880</v>
      </c>
      <c r="B112">
        <v>6</v>
      </c>
      <c r="C112">
        <v>11</v>
      </c>
      <c r="D112" t="s">
        <v>1272</v>
      </c>
      <c r="E112" t="s">
        <v>139</v>
      </c>
      <c r="F112" t="s">
        <v>294</v>
      </c>
      <c r="G112">
        <v>0</v>
      </c>
      <c r="H112">
        <v>3</v>
      </c>
      <c r="I112">
        <v>0</v>
      </c>
      <c r="J112" t="b">
        <v>1</v>
      </c>
      <c r="L112">
        <v>36</v>
      </c>
      <c r="M112" t="s">
        <v>1207</v>
      </c>
      <c r="N112" t="s">
        <v>1107</v>
      </c>
      <c r="O112">
        <v>92.1</v>
      </c>
      <c r="P112">
        <v>7.47</v>
      </c>
      <c r="Q112" t="s">
        <v>1110</v>
      </c>
    </row>
    <row r="113" spans="1:17">
      <c r="A113" s="2">
        <v>45880</v>
      </c>
      <c r="B113">
        <v>6</v>
      </c>
      <c r="C113">
        <v>12</v>
      </c>
      <c r="D113" t="s">
        <v>21</v>
      </c>
      <c r="E113" t="s">
        <v>140</v>
      </c>
      <c r="G113">
        <v>0</v>
      </c>
      <c r="H113">
        <v>0</v>
      </c>
      <c r="I113">
        <v>0</v>
      </c>
      <c r="J113" t="b">
        <v>1</v>
      </c>
      <c r="K113" t="s">
        <v>1105</v>
      </c>
      <c r="L113">
        <v>36</v>
      </c>
      <c r="N113" t="s">
        <v>1107</v>
      </c>
      <c r="O113">
        <v>85.7</v>
      </c>
      <c r="P113">
        <v>5.91</v>
      </c>
      <c r="Q113" t="s">
        <v>1111</v>
      </c>
    </row>
    <row r="114" spans="1:17">
      <c r="A114" s="2">
        <v>45880</v>
      </c>
      <c r="B114">
        <v>6</v>
      </c>
      <c r="C114">
        <v>13</v>
      </c>
      <c r="D114" t="s">
        <v>22</v>
      </c>
      <c r="E114" t="s">
        <v>141</v>
      </c>
      <c r="G114">
        <v>0</v>
      </c>
      <c r="H114">
        <v>0</v>
      </c>
      <c r="I114">
        <v>0</v>
      </c>
      <c r="J114" t="b">
        <v>1</v>
      </c>
      <c r="K114" t="s">
        <v>1105</v>
      </c>
      <c r="L114">
        <v>36</v>
      </c>
      <c r="N114" t="s">
        <v>1109</v>
      </c>
      <c r="O114">
        <v>86</v>
      </c>
      <c r="P114">
        <v>7.18</v>
      </c>
      <c r="Q114" t="s">
        <v>1110</v>
      </c>
    </row>
    <row r="115" spans="1:17">
      <c r="A115" s="2">
        <v>45880</v>
      </c>
      <c r="B115">
        <v>6</v>
      </c>
      <c r="C115">
        <v>14</v>
      </c>
      <c r="D115" t="s">
        <v>23</v>
      </c>
      <c r="E115" t="s">
        <v>142</v>
      </c>
      <c r="G115">
        <v>0</v>
      </c>
      <c r="H115">
        <v>0</v>
      </c>
      <c r="I115">
        <v>0</v>
      </c>
      <c r="J115" t="b">
        <v>1</v>
      </c>
      <c r="K115" t="s">
        <v>1105</v>
      </c>
      <c r="L115">
        <v>36</v>
      </c>
      <c r="N115" t="s">
        <v>1107</v>
      </c>
      <c r="O115">
        <v>90.3</v>
      </c>
      <c r="P115">
        <v>5.75</v>
      </c>
      <c r="Q115" t="s">
        <v>1110</v>
      </c>
    </row>
    <row r="116" spans="1:17">
      <c r="A116" s="2">
        <v>45880</v>
      </c>
      <c r="B116">
        <v>6</v>
      </c>
      <c r="C116">
        <v>15</v>
      </c>
      <c r="D116" t="s">
        <v>24</v>
      </c>
      <c r="E116" t="s">
        <v>143</v>
      </c>
      <c r="G116">
        <v>0</v>
      </c>
      <c r="H116">
        <v>0</v>
      </c>
      <c r="I116">
        <v>0</v>
      </c>
      <c r="J116" t="b">
        <v>1</v>
      </c>
      <c r="K116" t="s">
        <v>1105</v>
      </c>
      <c r="L116">
        <v>36</v>
      </c>
      <c r="N116" t="s">
        <v>1107</v>
      </c>
      <c r="O116">
        <v>92.5</v>
      </c>
      <c r="P116">
        <v>6.25</v>
      </c>
      <c r="Q116" t="s">
        <v>1110</v>
      </c>
    </row>
    <row r="117" spans="1:17">
      <c r="A117" s="2">
        <v>45880</v>
      </c>
      <c r="B117">
        <v>6</v>
      </c>
      <c r="C117">
        <v>16</v>
      </c>
      <c r="D117" t="s">
        <v>1273</v>
      </c>
      <c r="E117" t="s">
        <v>144</v>
      </c>
      <c r="G117">
        <v>0</v>
      </c>
      <c r="H117">
        <v>0</v>
      </c>
      <c r="I117">
        <v>0</v>
      </c>
      <c r="J117" t="b">
        <v>1</v>
      </c>
      <c r="K117" t="s">
        <v>1105</v>
      </c>
      <c r="L117">
        <v>36</v>
      </c>
      <c r="N117" t="s">
        <v>1107</v>
      </c>
      <c r="O117">
        <v>88.6</v>
      </c>
      <c r="P117">
        <v>6.38</v>
      </c>
      <c r="Q117" t="s">
        <v>1110</v>
      </c>
    </row>
    <row r="118" spans="1:17">
      <c r="A118" s="2">
        <v>45880</v>
      </c>
      <c r="B118">
        <v>6</v>
      </c>
      <c r="C118">
        <v>17</v>
      </c>
      <c r="D118" t="s">
        <v>25</v>
      </c>
      <c r="E118" t="s">
        <v>145</v>
      </c>
      <c r="G118">
        <v>0</v>
      </c>
      <c r="H118">
        <v>0</v>
      </c>
      <c r="I118">
        <v>0</v>
      </c>
      <c r="J118" t="b">
        <v>1</v>
      </c>
      <c r="K118" t="s">
        <v>1105</v>
      </c>
      <c r="L118">
        <v>36</v>
      </c>
      <c r="N118" t="s">
        <v>1107</v>
      </c>
      <c r="O118">
        <v>86.7</v>
      </c>
      <c r="P118">
        <v>5.54</v>
      </c>
      <c r="Q118" t="s">
        <v>1110</v>
      </c>
    </row>
    <row r="119" spans="1:17">
      <c r="A119" s="2">
        <v>45880</v>
      </c>
      <c r="B119">
        <v>6</v>
      </c>
      <c r="C119">
        <v>18</v>
      </c>
      <c r="D119" t="s">
        <v>26</v>
      </c>
      <c r="E119" t="s">
        <v>146</v>
      </c>
      <c r="G119">
        <v>0</v>
      </c>
      <c r="H119">
        <v>0</v>
      </c>
      <c r="I119">
        <v>0</v>
      </c>
      <c r="J119" t="b">
        <v>1</v>
      </c>
      <c r="K119" t="s">
        <v>1105</v>
      </c>
      <c r="L119">
        <v>36</v>
      </c>
      <c r="N119" t="s">
        <v>1107</v>
      </c>
      <c r="O119">
        <v>86.6</v>
      </c>
      <c r="P119">
        <v>8</v>
      </c>
      <c r="Q119" t="s">
        <v>1110</v>
      </c>
    </row>
    <row r="120" spans="1:17">
      <c r="A120" s="2">
        <v>45880</v>
      </c>
      <c r="B120">
        <v>6</v>
      </c>
      <c r="C120">
        <v>19</v>
      </c>
      <c r="D120" t="s">
        <v>27</v>
      </c>
      <c r="E120" t="s">
        <v>147</v>
      </c>
      <c r="G120">
        <v>0</v>
      </c>
      <c r="H120">
        <v>0</v>
      </c>
      <c r="I120">
        <v>0</v>
      </c>
      <c r="J120" t="b">
        <v>1</v>
      </c>
      <c r="K120" t="s">
        <v>1105</v>
      </c>
      <c r="L120">
        <v>36</v>
      </c>
      <c r="N120" t="s">
        <v>1107</v>
      </c>
      <c r="O120">
        <v>88.2</v>
      </c>
      <c r="P120">
        <v>7.97</v>
      </c>
      <c r="Q120" t="s">
        <v>1110</v>
      </c>
    </row>
    <row r="121" spans="1:17">
      <c r="A121" s="2">
        <v>45880</v>
      </c>
      <c r="B121">
        <v>6</v>
      </c>
      <c r="C121">
        <v>20</v>
      </c>
      <c r="D121" t="s">
        <v>28</v>
      </c>
      <c r="E121" t="s">
        <v>148</v>
      </c>
      <c r="G121">
        <v>0</v>
      </c>
      <c r="H121">
        <v>0</v>
      </c>
      <c r="I121">
        <v>0</v>
      </c>
      <c r="J121" t="b">
        <v>1</v>
      </c>
      <c r="K121" t="s">
        <v>1105</v>
      </c>
      <c r="L121">
        <v>36</v>
      </c>
      <c r="N121" t="s">
        <v>1107</v>
      </c>
      <c r="O121">
        <v>92.6</v>
      </c>
      <c r="P121">
        <v>6.29</v>
      </c>
      <c r="Q121" t="s">
        <v>1110</v>
      </c>
    </row>
    <row r="122" spans="1:17">
      <c r="A122" s="2">
        <v>45880</v>
      </c>
      <c r="B122">
        <v>7</v>
      </c>
      <c r="C122">
        <v>1</v>
      </c>
      <c r="D122" t="s">
        <v>17</v>
      </c>
      <c r="E122" t="s">
        <v>149</v>
      </c>
      <c r="F122" t="s">
        <v>295</v>
      </c>
      <c r="G122">
        <v>0</v>
      </c>
      <c r="H122">
        <v>0</v>
      </c>
      <c r="I122">
        <v>0</v>
      </c>
      <c r="J122" t="b">
        <v>0</v>
      </c>
      <c r="L122">
        <v>35</v>
      </c>
      <c r="N122" t="s">
        <v>1107</v>
      </c>
      <c r="O122">
        <v>74.099999999999994</v>
      </c>
      <c r="P122">
        <v>5.64</v>
      </c>
      <c r="Q122" t="s">
        <v>1110</v>
      </c>
    </row>
    <row r="123" spans="1:17">
      <c r="A123" s="2">
        <v>45880</v>
      </c>
      <c r="B123">
        <v>7</v>
      </c>
      <c r="C123">
        <v>2</v>
      </c>
      <c r="D123" t="s">
        <v>1269</v>
      </c>
      <c r="E123" t="s">
        <v>150</v>
      </c>
      <c r="F123" t="s">
        <v>296</v>
      </c>
      <c r="G123">
        <v>0</v>
      </c>
      <c r="H123">
        <v>0</v>
      </c>
      <c r="I123">
        <v>0</v>
      </c>
      <c r="J123" t="b">
        <v>0</v>
      </c>
      <c r="L123">
        <v>35</v>
      </c>
      <c r="N123" t="s">
        <v>1108</v>
      </c>
      <c r="O123">
        <v>66.400000000000006</v>
      </c>
      <c r="P123">
        <v>7.88</v>
      </c>
      <c r="Q123" t="s">
        <v>1110</v>
      </c>
    </row>
    <row r="124" spans="1:17">
      <c r="A124" s="2">
        <v>45880</v>
      </c>
      <c r="B124">
        <v>7</v>
      </c>
      <c r="C124">
        <v>3</v>
      </c>
      <c r="D124" t="s">
        <v>18</v>
      </c>
      <c r="E124" t="s">
        <v>151</v>
      </c>
      <c r="F124" t="s">
        <v>151</v>
      </c>
      <c r="G124">
        <v>2</v>
      </c>
      <c r="H124">
        <v>0</v>
      </c>
      <c r="I124">
        <v>2</v>
      </c>
      <c r="J124" t="b">
        <v>0</v>
      </c>
      <c r="L124">
        <v>35</v>
      </c>
      <c r="N124" t="s">
        <v>1107</v>
      </c>
      <c r="O124">
        <v>78.2</v>
      </c>
      <c r="P124">
        <v>7.95</v>
      </c>
      <c r="Q124" t="s">
        <v>1110</v>
      </c>
    </row>
    <row r="125" spans="1:17">
      <c r="A125" s="2">
        <v>45880</v>
      </c>
      <c r="B125">
        <v>7</v>
      </c>
      <c r="C125">
        <v>4</v>
      </c>
      <c r="D125" t="s">
        <v>19</v>
      </c>
      <c r="E125" t="s">
        <v>152</v>
      </c>
      <c r="F125" t="s">
        <v>297</v>
      </c>
      <c r="G125">
        <v>5</v>
      </c>
      <c r="H125">
        <v>0</v>
      </c>
      <c r="I125">
        <v>7</v>
      </c>
      <c r="J125" t="b">
        <v>0</v>
      </c>
      <c r="L125">
        <v>35</v>
      </c>
      <c r="N125" t="s">
        <v>1107</v>
      </c>
      <c r="O125">
        <v>84.8</v>
      </c>
      <c r="P125">
        <v>5.91</v>
      </c>
      <c r="Q125" t="s">
        <v>1110</v>
      </c>
    </row>
    <row r="126" spans="1:17">
      <c r="A126" s="2">
        <v>45880</v>
      </c>
      <c r="B126">
        <v>7</v>
      </c>
      <c r="C126">
        <v>5</v>
      </c>
      <c r="D126" t="s">
        <v>1115</v>
      </c>
      <c r="E126" t="s">
        <v>153</v>
      </c>
      <c r="F126" t="s">
        <v>298</v>
      </c>
      <c r="G126">
        <v>5</v>
      </c>
      <c r="H126">
        <v>5</v>
      </c>
      <c r="I126">
        <v>7</v>
      </c>
      <c r="J126" t="b">
        <v>0</v>
      </c>
      <c r="L126">
        <v>35</v>
      </c>
      <c r="N126" t="s">
        <v>1107</v>
      </c>
      <c r="O126">
        <v>81.400000000000006</v>
      </c>
      <c r="P126">
        <v>5.07</v>
      </c>
      <c r="Q126" t="s">
        <v>1111</v>
      </c>
    </row>
    <row r="127" spans="1:17">
      <c r="A127" s="2">
        <v>45880</v>
      </c>
      <c r="B127">
        <v>7</v>
      </c>
      <c r="C127">
        <v>6</v>
      </c>
      <c r="D127" t="s">
        <v>1270</v>
      </c>
      <c r="E127" t="s">
        <v>154</v>
      </c>
      <c r="F127" t="s">
        <v>299</v>
      </c>
      <c r="G127">
        <v>3</v>
      </c>
      <c r="H127">
        <v>4</v>
      </c>
      <c r="I127">
        <v>6</v>
      </c>
      <c r="J127" t="b">
        <v>0</v>
      </c>
      <c r="L127">
        <v>35</v>
      </c>
      <c r="M127">
        <v>7.7</v>
      </c>
      <c r="N127" t="s">
        <v>1107</v>
      </c>
      <c r="O127">
        <v>66.900000000000006</v>
      </c>
      <c r="P127">
        <v>6.66</v>
      </c>
      <c r="Q127" t="s">
        <v>1110</v>
      </c>
    </row>
    <row r="128" spans="1:17">
      <c r="A128" s="2">
        <v>45880</v>
      </c>
      <c r="B128">
        <v>7</v>
      </c>
      <c r="C128">
        <v>7</v>
      </c>
      <c r="D128" t="s">
        <v>1114</v>
      </c>
      <c r="E128" t="s">
        <v>155</v>
      </c>
      <c r="F128" t="s">
        <v>300</v>
      </c>
      <c r="G128">
        <v>0</v>
      </c>
      <c r="H128">
        <v>0</v>
      </c>
      <c r="I128">
        <v>6</v>
      </c>
      <c r="J128" t="b">
        <v>0</v>
      </c>
      <c r="L128">
        <v>35</v>
      </c>
      <c r="N128" t="s">
        <v>1108</v>
      </c>
      <c r="O128">
        <v>63.9</v>
      </c>
      <c r="P128">
        <v>5.1100000000000003</v>
      </c>
      <c r="Q128" t="s">
        <v>1110</v>
      </c>
    </row>
    <row r="129" spans="1:17">
      <c r="A129" s="2">
        <v>45880</v>
      </c>
      <c r="B129">
        <v>7</v>
      </c>
      <c r="C129">
        <v>8</v>
      </c>
      <c r="D129" t="s">
        <v>1271</v>
      </c>
      <c r="E129" t="s">
        <v>156</v>
      </c>
      <c r="F129" t="s">
        <v>301</v>
      </c>
      <c r="G129">
        <v>0</v>
      </c>
      <c r="H129">
        <v>2</v>
      </c>
      <c r="I129">
        <v>4</v>
      </c>
      <c r="J129" t="b">
        <v>0</v>
      </c>
      <c r="L129">
        <v>35</v>
      </c>
      <c r="N129" t="s">
        <v>1107</v>
      </c>
      <c r="O129">
        <v>69.2</v>
      </c>
      <c r="P129">
        <v>6.75</v>
      </c>
      <c r="Q129" t="s">
        <v>1110</v>
      </c>
    </row>
    <row r="130" spans="1:17">
      <c r="A130" s="2">
        <v>45880</v>
      </c>
      <c r="B130">
        <v>7</v>
      </c>
      <c r="C130">
        <v>9</v>
      </c>
      <c r="D130" t="s">
        <v>20</v>
      </c>
      <c r="E130" t="s">
        <v>157</v>
      </c>
      <c r="F130" t="s">
        <v>302</v>
      </c>
      <c r="G130">
        <v>5</v>
      </c>
      <c r="H130">
        <v>1</v>
      </c>
      <c r="I130">
        <v>8</v>
      </c>
      <c r="J130" t="b">
        <v>0</v>
      </c>
      <c r="L130">
        <v>35</v>
      </c>
      <c r="M130">
        <v>7.1</v>
      </c>
      <c r="N130" t="s">
        <v>1107</v>
      </c>
      <c r="O130">
        <v>62.3</v>
      </c>
      <c r="P130">
        <v>6.2</v>
      </c>
      <c r="Q130" t="s">
        <v>1111</v>
      </c>
    </row>
    <row r="131" spans="1:17">
      <c r="A131" s="2">
        <v>45880</v>
      </c>
      <c r="B131">
        <v>7</v>
      </c>
      <c r="C131">
        <v>10</v>
      </c>
      <c r="D131" t="s">
        <v>1113</v>
      </c>
      <c r="E131" t="s">
        <v>158</v>
      </c>
      <c r="F131" t="s">
        <v>303</v>
      </c>
      <c r="G131">
        <v>5</v>
      </c>
      <c r="H131">
        <v>1</v>
      </c>
      <c r="I131">
        <v>12</v>
      </c>
      <c r="J131" t="b">
        <v>0</v>
      </c>
      <c r="L131">
        <v>35</v>
      </c>
      <c r="N131" t="s">
        <v>1107</v>
      </c>
      <c r="O131">
        <v>78.099999999999994</v>
      </c>
      <c r="P131">
        <v>7.38</v>
      </c>
      <c r="Q131" t="s">
        <v>1110</v>
      </c>
    </row>
    <row r="132" spans="1:17">
      <c r="A132" s="2">
        <v>45880</v>
      </c>
      <c r="B132">
        <v>7</v>
      </c>
      <c r="C132">
        <v>11</v>
      </c>
      <c r="D132" t="s">
        <v>1272</v>
      </c>
      <c r="E132" t="s">
        <v>159</v>
      </c>
      <c r="F132" t="s">
        <v>304</v>
      </c>
      <c r="G132">
        <v>3</v>
      </c>
      <c r="H132">
        <v>5</v>
      </c>
      <c r="I132">
        <v>10</v>
      </c>
      <c r="J132" t="b">
        <v>0</v>
      </c>
      <c r="L132">
        <v>35</v>
      </c>
      <c r="M132">
        <v>8</v>
      </c>
      <c r="N132" t="s">
        <v>1107</v>
      </c>
      <c r="O132">
        <v>77.2</v>
      </c>
      <c r="P132">
        <v>6.73</v>
      </c>
      <c r="Q132" t="s">
        <v>1111</v>
      </c>
    </row>
    <row r="133" spans="1:17">
      <c r="A133" s="2">
        <v>45880</v>
      </c>
      <c r="B133">
        <v>7</v>
      </c>
      <c r="C133">
        <v>12</v>
      </c>
      <c r="D133" t="s">
        <v>21</v>
      </c>
      <c r="E133" t="s">
        <v>160</v>
      </c>
      <c r="F133" t="s">
        <v>305</v>
      </c>
      <c r="G133">
        <v>0</v>
      </c>
      <c r="H133">
        <v>0</v>
      </c>
      <c r="I133">
        <v>10</v>
      </c>
      <c r="J133" t="b">
        <v>0</v>
      </c>
      <c r="L133">
        <v>35</v>
      </c>
      <c r="N133" t="s">
        <v>1107</v>
      </c>
      <c r="O133">
        <v>67.5</v>
      </c>
      <c r="P133">
        <v>7.19</v>
      </c>
      <c r="Q133" t="s">
        <v>1110</v>
      </c>
    </row>
    <row r="134" spans="1:17">
      <c r="A134" s="2">
        <v>45880</v>
      </c>
      <c r="B134">
        <v>7</v>
      </c>
      <c r="C134">
        <v>13</v>
      </c>
      <c r="D134" t="s">
        <v>22</v>
      </c>
      <c r="E134" t="s">
        <v>161</v>
      </c>
      <c r="F134" t="s">
        <v>306</v>
      </c>
      <c r="G134">
        <v>1</v>
      </c>
      <c r="H134">
        <v>5</v>
      </c>
      <c r="I134">
        <v>6</v>
      </c>
      <c r="J134" t="b">
        <v>0</v>
      </c>
      <c r="L134">
        <v>35</v>
      </c>
      <c r="M134">
        <v>6.6</v>
      </c>
      <c r="N134" t="s">
        <v>1107</v>
      </c>
      <c r="O134">
        <v>61.4</v>
      </c>
      <c r="P134">
        <v>7.31</v>
      </c>
      <c r="Q134" t="s">
        <v>1110</v>
      </c>
    </row>
    <row r="135" spans="1:17">
      <c r="A135" s="2">
        <v>45880</v>
      </c>
      <c r="B135">
        <v>7</v>
      </c>
      <c r="C135">
        <v>14</v>
      </c>
      <c r="D135" t="s">
        <v>23</v>
      </c>
      <c r="E135" t="s">
        <v>162</v>
      </c>
      <c r="F135" t="s">
        <v>307</v>
      </c>
      <c r="G135">
        <v>4</v>
      </c>
      <c r="H135">
        <v>2</v>
      </c>
      <c r="I135">
        <v>8</v>
      </c>
      <c r="J135" t="b">
        <v>0</v>
      </c>
      <c r="L135">
        <v>35</v>
      </c>
      <c r="M135">
        <v>7.9</v>
      </c>
      <c r="N135" t="s">
        <v>1107</v>
      </c>
      <c r="O135">
        <v>70.400000000000006</v>
      </c>
      <c r="P135">
        <v>7.6</v>
      </c>
      <c r="Q135" t="s">
        <v>1111</v>
      </c>
    </row>
    <row r="136" spans="1:17">
      <c r="A136" s="2">
        <v>45880</v>
      </c>
      <c r="B136">
        <v>7</v>
      </c>
      <c r="C136">
        <v>15</v>
      </c>
      <c r="D136" t="s">
        <v>24</v>
      </c>
      <c r="E136" t="s">
        <v>163</v>
      </c>
      <c r="F136" t="s">
        <v>308</v>
      </c>
      <c r="G136">
        <v>1</v>
      </c>
      <c r="H136">
        <v>3</v>
      </c>
      <c r="I136">
        <v>6</v>
      </c>
      <c r="J136" t="b">
        <v>0</v>
      </c>
      <c r="L136">
        <v>35</v>
      </c>
      <c r="M136">
        <v>7.8</v>
      </c>
      <c r="N136" t="s">
        <v>1107</v>
      </c>
      <c r="O136">
        <v>76.3</v>
      </c>
      <c r="P136">
        <v>6.81</v>
      </c>
      <c r="Q136" t="s">
        <v>1110</v>
      </c>
    </row>
    <row r="137" spans="1:17">
      <c r="A137" s="2">
        <v>45880</v>
      </c>
      <c r="B137">
        <v>7</v>
      </c>
      <c r="C137">
        <v>16</v>
      </c>
      <c r="D137" t="s">
        <v>1273</v>
      </c>
      <c r="E137" t="s">
        <v>164</v>
      </c>
      <c r="F137" t="s">
        <v>309</v>
      </c>
      <c r="G137">
        <v>0</v>
      </c>
      <c r="H137">
        <v>2</v>
      </c>
      <c r="I137">
        <v>4</v>
      </c>
      <c r="J137" t="b">
        <v>0</v>
      </c>
      <c r="L137">
        <v>35</v>
      </c>
      <c r="N137" t="s">
        <v>1107</v>
      </c>
      <c r="O137">
        <v>69.599999999999994</v>
      </c>
      <c r="P137">
        <v>5.91</v>
      </c>
      <c r="Q137" t="s">
        <v>1110</v>
      </c>
    </row>
    <row r="138" spans="1:17">
      <c r="A138" s="2">
        <v>45880</v>
      </c>
      <c r="B138">
        <v>7</v>
      </c>
      <c r="C138">
        <v>17</v>
      </c>
      <c r="D138" t="s">
        <v>25</v>
      </c>
      <c r="E138" t="s">
        <v>165</v>
      </c>
      <c r="F138" t="s">
        <v>310</v>
      </c>
      <c r="G138">
        <v>5</v>
      </c>
      <c r="H138">
        <v>1</v>
      </c>
      <c r="I138">
        <v>8</v>
      </c>
      <c r="J138" t="b">
        <v>0</v>
      </c>
      <c r="K138" t="s">
        <v>1104</v>
      </c>
      <c r="L138">
        <v>35</v>
      </c>
      <c r="M138">
        <v>4.0999999999999996</v>
      </c>
      <c r="N138" t="s">
        <v>1107</v>
      </c>
      <c r="O138">
        <v>63.7</v>
      </c>
      <c r="P138">
        <v>6.51</v>
      </c>
      <c r="Q138" t="s">
        <v>1110</v>
      </c>
    </row>
    <row r="139" spans="1:17">
      <c r="A139" s="2">
        <v>45880</v>
      </c>
      <c r="B139">
        <v>7</v>
      </c>
      <c r="C139">
        <v>18</v>
      </c>
      <c r="D139" t="s">
        <v>26</v>
      </c>
      <c r="E139" t="s">
        <v>166</v>
      </c>
      <c r="F139" t="s">
        <v>311</v>
      </c>
      <c r="G139">
        <v>2</v>
      </c>
      <c r="H139">
        <v>0</v>
      </c>
      <c r="I139">
        <v>10</v>
      </c>
      <c r="J139" t="b">
        <v>0</v>
      </c>
      <c r="K139" t="s">
        <v>1104</v>
      </c>
      <c r="L139">
        <v>35</v>
      </c>
      <c r="N139" t="s">
        <v>1107</v>
      </c>
      <c r="O139">
        <v>78.3</v>
      </c>
      <c r="P139">
        <v>6.18</v>
      </c>
      <c r="Q139" t="s">
        <v>1110</v>
      </c>
    </row>
    <row r="140" spans="1:17">
      <c r="A140" s="2">
        <v>45880</v>
      </c>
      <c r="B140">
        <v>7</v>
      </c>
      <c r="C140">
        <v>19</v>
      </c>
      <c r="D140" t="s">
        <v>27</v>
      </c>
      <c r="E140" t="s">
        <v>167</v>
      </c>
      <c r="F140" t="s">
        <v>312</v>
      </c>
      <c r="G140">
        <v>4</v>
      </c>
      <c r="H140">
        <v>3</v>
      </c>
      <c r="I140">
        <v>11</v>
      </c>
      <c r="J140" t="b">
        <v>0</v>
      </c>
      <c r="K140" t="s">
        <v>1104</v>
      </c>
      <c r="L140">
        <v>35</v>
      </c>
      <c r="M140">
        <v>4.0999999999999996</v>
      </c>
      <c r="N140" t="s">
        <v>1107</v>
      </c>
      <c r="O140">
        <v>72.599999999999994</v>
      </c>
      <c r="P140">
        <v>5.67</v>
      </c>
      <c r="Q140" t="s">
        <v>1110</v>
      </c>
    </row>
    <row r="141" spans="1:17">
      <c r="A141" s="2">
        <v>45880</v>
      </c>
      <c r="B141">
        <v>7</v>
      </c>
      <c r="C141">
        <v>20</v>
      </c>
      <c r="D141" t="s">
        <v>28</v>
      </c>
      <c r="E141" t="s">
        <v>168</v>
      </c>
      <c r="F141" t="s">
        <v>313</v>
      </c>
      <c r="G141">
        <v>1</v>
      </c>
      <c r="H141">
        <v>1</v>
      </c>
      <c r="I141">
        <v>11</v>
      </c>
      <c r="J141" t="b">
        <v>0</v>
      </c>
      <c r="K141" t="s">
        <v>1104</v>
      </c>
      <c r="L141">
        <v>35</v>
      </c>
      <c r="M141">
        <v>3.8</v>
      </c>
      <c r="N141" t="s">
        <v>1107</v>
      </c>
      <c r="O141">
        <v>63.3</v>
      </c>
      <c r="P141">
        <v>5.25</v>
      </c>
      <c r="Q141" t="s">
        <v>1110</v>
      </c>
    </row>
    <row r="142" spans="1:17">
      <c r="A142" s="2">
        <v>45880</v>
      </c>
      <c r="B142">
        <v>8</v>
      </c>
      <c r="C142">
        <v>1</v>
      </c>
      <c r="D142" t="s">
        <v>17</v>
      </c>
      <c r="E142" t="s">
        <v>169</v>
      </c>
      <c r="F142" t="s">
        <v>314</v>
      </c>
      <c r="G142">
        <v>0</v>
      </c>
      <c r="H142">
        <v>0</v>
      </c>
      <c r="I142">
        <v>0</v>
      </c>
      <c r="J142" t="b">
        <v>0</v>
      </c>
      <c r="L142">
        <v>36</v>
      </c>
      <c r="N142" t="s">
        <v>1107</v>
      </c>
      <c r="O142">
        <v>70</v>
      </c>
      <c r="P142">
        <v>5.26</v>
      </c>
      <c r="Q142" t="s">
        <v>1110</v>
      </c>
    </row>
    <row r="143" spans="1:17">
      <c r="A143" s="2">
        <v>45880</v>
      </c>
      <c r="B143">
        <v>8</v>
      </c>
      <c r="C143">
        <v>2</v>
      </c>
      <c r="D143" t="s">
        <v>1269</v>
      </c>
      <c r="E143" t="s">
        <v>170</v>
      </c>
      <c r="F143" t="s">
        <v>315</v>
      </c>
      <c r="G143">
        <v>0</v>
      </c>
      <c r="H143">
        <v>0</v>
      </c>
      <c r="I143">
        <v>0</v>
      </c>
      <c r="J143" t="b">
        <v>0</v>
      </c>
      <c r="L143">
        <v>36</v>
      </c>
      <c r="N143" t="s">
        <v>1107</v>
      </c>
      <c r="O143">
        <v>63.3</v>
      </c>
      <c r="P143">
        <v>5.4</v>
      </c>
      <c r="Q143" t="s">
        <v>1110</v>
      </c>
    </row>
    <row r="144" spans="1:17">
      <c r="A144" s="2">
        <v>45880</v>
      </c>
      <c r="B144">
        <v>8</v>
      </c>
      <c r="C144">
        <v>3</v>
      </c>
      <c r="D144" t="s">
        <v>18</v>
      </c>
      <c r="E144" t="s">
        <v>171</v>
      </c>
      <c r="F144" t="s">
        <v>316</v>
      </c>
      <c r="G144">
        <v>3</v>
      </c>
      <c r="H144">
        <v>0</v>
      </c>
      <c r="I144">
        <v>3</v>
      </c>
      <c r="J144" t="b">
        <v>0</v>
      </c>
      <c r="L144">
        <v>36</v>
      </c>
      <c r="N144" t="s">
        <v>1107</v>
      </c>
      <c r="O144">
        <v>76.3</v>
      </c>
      <c r="P144">
        <v>5.59</v>
      </c>
      <c r="Q144" t="s">
        <v>1110</v>
      </c>
    </row>
    <row r="145" spans="1:17">
      <c r="A145" s="2">
        <v>45880</v>
      </c>
      <c r="B145">
        <v>8</v>
      </c>
      <c r="C145">
        <v>4</v>
      </c>
      <c r="D145" t="s">
        <v>19</v>
      </c>
      <c r="E145" t="s">
        <v>172</v>
      </c>
      <c r="F145" t="s">
        <v>317</v>
      </c>
      <c r="G145">
        <v>2</v>
      </c>
      <c r="H145">
        <v>1</v>
      </c>
      <c r="I145">
        <v>4</v>
      </c>
      <c r="J145" t="b">
        <v>0</v>
      </c>
      <c r="L145">
        <v>36</v>
      </c>
      <c r="M145" t="s">
        <v>1202</v>
      </c>
      <c r="N145" t="s">
        <v>1107</v>
      </c>
      <c r="O145">
        <v>66.2</v>
      </c>
      <c r="P145">
        <v>5.21</v>
      </c>
      <c r="Q145" t="s">
        <v>1110</v>
      </c>
    </row>
    <row r="146" spans="1:17">
      <c r="A146" s="2">
        <v>45880</v>
      </c>
      <c r="B146">
        <v>8</v>
      </c>
      <c r="C146">
        <v>5</v>
      </c>
      <c r="D146" t="s">
        <v>1115</v>
      </c>
      <c r="E146" t="s">
        <v>173</v>
      </c>
      <c r="F146" t="s">
        <v>318</v>
      </c>
      <c r="G146">
        <v>3</v>
      </c>
      <c r="H146">
        <v>0</v>
      </c>
      <c r="I146">
        <v>7</v>
      </c>
      <c r="J146" t="b">
        <v>0</v>
      </c>
      <c r="L146">
        <v>36</v>
      </c>
      <c r="N146" t="s">
        <v>1107</v>
      </c>
      <c r="O146">
        <v>83.1</v>
      </c>
      <c r="P146">
        <v>5.27</v>
      </c>
      <c r="Q146" t="s">
        <v>1110</v>
      </c>
    </row>
    <row r="147" spans="1:17">
      <c r="A147" s="2">
        <v>45880</v>
      </c>
      <c r="B147">
        <v>8</v>
      </c>
      <c r="C147">
        <v>6</v>
      </c>
      <c r="D147" t="s">
        <v>1270</v>
      </c>
      <c r="E147" t="s">
        <v>174</v>
      </c>
      <c r="F147" t="s">
        <v>319</v>
      </c>
      <c r="G147">
        <v>1</v>
      </c>
      <c r="H147">
        <v>3</v>
      </c>
      <c r="I147">
        <v>5</v>
      </c>
      <c r="J147" t="b">
        <v>0</v>
      </c>
      <c r="L147">
        <v>36</v>
      </c>
      <c r="M147" t="s">
        <v>1215</v>
      </c>
      <c r="N147" t="s">
        <v>1107</v>
      </c>
      <c r="O147">
        <v>68.7</v>
      </c>
      <c r="P147">
        <v>5.96</v>
      </c>
      <c r="Q147" t="s">
        <v>1110</v>
      </c>
    </row>
    <row r="148" spans="1:17">
      <c r="A148" s="2">
        <v>45880</v>
      </c>
      <c r="B148">
        <v>8</v>
      </c>
      <c r="C148">
        <v>7</v>
      </c>
      <c r="D148" t="s">
        <v>1114</v>
      </c>
      <c r="E148" t="s">
        <v>175</v>
      </c>
      <c r="F148" t="s">
        <v>320</v>
      </c>
      <c r="G148">
        <v>2</v>
      </c>
      <c r="H148">
        <v>3</v>
      </c>
      <c r="I148">
        <v>4</v>
      </c>
      <c r="J148" t="b">
        <v>0</v>
      </c>
      <c r="L148">
        <v>36</v>
      </c>
      <c r="M148" t="s">
        <v>1207</v>
      </c>
      <c r="N148" t="s">
        <v>1107</v>
      </c>
      <c r="O148">
        <v>67.599999999999994</v>
      </c>
      <c r="P148">
        <v>7.96</v>
      </c>
      <c r="Q148" t="s">
        <v>1110</v>
      </c>
    </row>
    <row r="149" spans="1:17">
      <c r="A149" s="2">
        <v>45880</v>
      </c>
      <c r="B149">
        <v>8</v>
      </c>
      <c r="C149">
        <v>8</v>
      </c>
      <c r="D149" t="s">
        <v>1271</v>
      </c>
      <c r="E149" t="s">
        <v>176</v>
      </c>
      <c r="F149" t="s">
        <v>321</v>
      </c>
      <c r="G149">
        <v>1</v>
      </c>
      <c r="H149">
        <v>1</v>
      </c>
      <c r="I149">
        <v>4</v>
      </c>
      <c r="J149" t="b">
        <v>0</v>
      </c>
      <c r="L149">
        <v>36</v>
      </c>
      <c r="M149" t="s">
        <v>1208</v>
      </c>
      <c r="N149" t="s">
        <v>1106</v>
      </c>
      <c r="O149">
        <v>71.099999999999994</v>
      </c>
      <c r="P149">
        <v>5.44</v>
      </c>
      <c r="Q149" t="s">
        <v>1110</v>
      </c>
    </row>
    <row r="150" spans="1:17">
      <c r="A150" s="2">
        <v>45880</v>
      </c>
      <c r="B150">
        <v>8</v>
      </c>
      <c r="C150">
        <v>9</v>
      </c>
      <c r="D150" t="s">
        <v>20</v>
      </c>
      <c r="E150" t="s">
        <v>177</v>
      </c>
      <c r="F150" t="s">
        <v>322</v>
      </c>
      <c r="G150">
        <v>3</v>
      </c>
      <c r="H150">
        <v>1</v>
      </c>
      <c r="I150">
        <v>6</v>
      </c>
      <c r="J150" t="b">
        <v>0</v>
      </c>
      <c r="L150">
        <v>36</v>
      </c>
      <c r="M150" t="s">
        <v>1213</v>
      </c>
      <c r="N150" t="s">
        <v>1107</v>
      </c>
      <c r="O150">
        <v>65</v>
      </c>
      <c r="P150">
        <v>6.12</v>
      </c>
      <c r="Q150" t="s">
        <v>1110</v>
      </c>
    </row>
    <row r="151" spans="1:17">
      <c r="A151" s="2">
        <v>45880</v>
      </c>
      <c r="B151">
        <v>8</v>
      </c>
      <c r="C151">
        <v>10</v>
      </c>
      <c r="D151" t="s">
        <v>1113</v>
      </c>
      <c r="E151" t="s">
        <v>178</v>
      </c>
      <c r="F151" t="s">
        <v>323</v>
      </c>
      <c r="G151">
        <v>2</v>
      </c>
      <c r="H151">
        <v>0</v>
      </c>
      <c r="I151">
        <v>8</v>
      </c>
      <c r="J151" t="b">
        <v>0</v>
      </c>
      <c r="L151">
        <v>36</v>
      </c>
      <c r="N151" t="s">
        <v>1107</v>
      </c>
      <c r="O151">
        <v>62.8</v>
      </c>
      <c r="P151">
        <v>5.16</v>
      </c>
      <c r="Q151" t="s">
        <v>1111</v>
      </c>
    </row>
    <row r="152" spans="1:17">
      <c r="A152" s="2">
        <v>45880</v>
      </c>
      <c r="B152">
        <v>8</v>
      </c>
      <c r="C152">
        <v>11</v>
      </c>
      <c r="D152" t="s">
        <v>1272</v>
      </c>
      <c r="E152" t="s">
        <v>179</v>
      </c>
      <c r="F152" t="s">
        <v>324</v>
      </c>
      <c r="G152">
        <v>3</v>
      </c>
      <c r="H152">
        <v>4</v>
      </c>
      <c r="I152">
        <v>7</v>
      </c>
      <c r="J152" t="b">
        <v>0</v>
      </c>
      <c r="L152">
        <v>36</v>
      </c>
      <c r="M152" t="s">
        <v>1204</v>
      </c>
      <c r="N152" t="s">
        <v>1108</v>
      </c>
      <c r="O152">
        <v>81.7</v>
      </c>
      <c r="P152">
        <v>7.46</v>
      </c>
      <c r="Q152" t="s">
        <v>1110</v>
      </c>
    </row>
    <row r="153" spans="1:17">
      <c r="A153" s="2">
        <v>45880</v>
      </c>
      <c r="B153">
        <v>8</v>
      </c>
      <c r="C153">
        <v>12</v>
      </c>
      <c r="D153" t="s">
        <v>21</v>
      </c>
      <c r="E153" t="s">
        <v>180</v>
      </c>
      <c r="F153" t="s">
        <v>325</v>
      </c>
      <c r="G153">
        <v>2</v>
      </c>
      <c r="H153">
        <v>4</v>
      </c>
      <c r="I153">
        <v>5</v>
      </c>
      <c r="J153" t="b">
        <v>0</v>
      </c>
      <c r="L153">
        <v>36</v>
      </c>
      <c r="M153" t="s">
        <v>1207</v>
      </c>
      <c r="N153" t="s">
        <v>1107</v>
      </c>
      <c r="O153">
        <v>62.8</v>
      </c>
      <c r="P153">
        <v>6.35</v>
      </c>
      <c r="Q153" t="s">
        <v>1110</v>
      </c>
    </row>
    <row r="154" spans="1:17">
      <c r="A154" s="2">
        <v>45880</v>
      </c>
      <c r="B154">
        <v>8</v>
      </c>
      <c r="C154">
        <v>13</v>
      </c>
      <c r="D154" t="s">
        <v>22</v>
      </c>
      <c r="E154" t="s">
        <v>181</v>
      </c>
      <c r="F154" t="s">
        <v>326</v>
      </c>
      <c r="G154">
        <v>2</v>
      </c>
      <c r="H154">
        <v>0</v>
      </c>
      <c r="I154">
        <v>7</v>
      </c>
      <c r="J154" t="b">
        <v>0</v>
      </c>
      <c r="L154">
        <v>36</v>
      </c>
      <c r="N154" t="s">
        <v>1107</v>
      </c>
      <c r="O154">
        <v>73.5</v>
      </c>
      <c r="P154">
        <v>5.61</v>
      </c>
      <c r="Q154" t="s">
        <v>1110</v>
      </c>
    </row>
    <row r="155" spans="1:17">
      <c r="A155" s="2">
        <v>45880</v>
      </c>
      <c r="B155">
        <v>8</v>
      </c>
      <c r="C155">
        <v>14</v>
      </c>
      <c r="D155" t="s">
        <v>23</v>
      </c>
      <c r="E155" t="s">
        <v>182</v>
      </c>
      <c r="F155" t="s">
        <v>327</v>
      </c>
      <c r="G155">
        <v>0</v>
      </c>
      <c r="H155">
        <v>2</v>
      </c>
      <c r="I155">
        <v>5</v>
      </c>
      <c r="J155" t="b">
        <v>0</v>
      </c>
      <c r="L155">
        <v>36</v>
      </c>
      <c r="M155" t="s">
        <v>1212</v>
      </c>
      <c r="N155" t="s">
        <v>1107</v>
      </c>
      <c r="O155">
        <v>72.099999999999994</v>
      </c>
      <c r="P155">
        <v>7.19</v>
      </c>
      <c r="Q155" t="s">
        <v>1110</v>
      </c>
    </row>
    <row r="156" spans="1:17">
      <c r="A156" s="2">
        <v>45880</v>
      </c>
      <c r="B156">
        <v>8</v>
      </c>
      <c r="C156">
        <v>15</v>
      </c>
      <c r="D156" t="s">
        <v>24</v>
      </c>
      <c r="E156" t="s">
        <v>183</v>
      </c>
      <c r="F156" t="s">
        <v>328</v>
      </c>
      <c r="G156">
        <v>2</v>
      </c>
      <c r="H156">
        <v>3</v>
      </c>
      <c r="I156">
        <v>4</v>
      </c>
      <c r="J156" t="b">
        <v>0</v>
      </c>
      <c r="L156">
        <v>36</v>
      </c>
      <c r="M156" t="s">
        <v>1216</v>
      </c>
      <c r="N156" t="s">
        <v>1107</v>
      </c>
      <c r="O156">
        <v>60.5</v>
      </c>
      <c r="P156">
        <v>6.75</v>
      </c>
      <c r="Q156" t="s">
        <v>1110</v>
      </c>
    </row>
    <row r="157" spans="1:17">
      <c r="A157" s="2">
        <v>45880</v>
      </c>
      <c r="B157">
        <v>8</v>
      </c>
      <c r="C157">
        <v>16</v>
      </c>
      <c r="D157" t="s">
        <v>1273</v>
      </c>
      <c r="E157" t="s">
        <v>184</v>
      </c>
      <c r="F157" t="s">
        <v>329</v>
      </c>
      <c r="G157">
        <v>3</v>
      </c>
      <c r="H157">
        <v>2</v>
      </c>
      <c r="I157">
        <v>5</v>
      </c>
      <c r="J157" t="b">
        <v>0</v>
      </c>
      <c r="L157">
        <v>36</v>
      </c>
      <c r="M157" t="s">
        <v>1209</v>
      </c>
      <c r="N157" t="s">
        <v>1107</v>
      </c>
      <c r="O157">
        <v>64.3</v>
      </c>
      <c r="P157">
        <v>5.85</v>
      </c>
      <c r="Q157" t="s">
        <v>1110</v>
      </c>
    </row>
    <row r="158" spans="1:17">
      <c r="A158" s="2">
        <v>45880</v>
      </c>
      <c r="B158">
        <v>8</v>
      </c>
      <c r="C158">
        <v>17</v>
      </c>
      <c r="D158" t="s">
        <v>25</v>
      </c>
      <c r="E158" t="s">
        <v>185</v>
      </c>
      <c r="F158" t="s">
        <v>330</v>
      </c>
      <c r="G158">
        <v>0</v>
      </c>
      <c r="H158">
        <v>4</v>
      </c>
      <c r="I158">
        <v>1</v>
      </c>
      <c r="J158" t="b">
        <v>0</v>
      </c>
      <c r="K158" t="s">
        <v>1104</v>
      </c>
      <c r="L158">
        <v>36</v>
      </c>
      <c r="M158">
        <v>5</v>
      </c>
      <c r="N158" t="s">
        <v>1107</v>
      </c>
      <c r="O158">
        <v>61.3</v>
      </c>
      <c r="P158">
        <v>6.96</v>
      </c>
      <c r="Q158" t="s">
        <v>1110</v>
      </c>
    </row>
    <row r="159" spans="1:17">
      <c r="A159" s="2">
        <v>45880</v>
      </c>
      <c r="B159">
        <v>8</v>
      </c>
      <c r="C159">
        <v>18</v>
      </c>
      <c r="D159" t="s">
        <v>26</v>
      </c>
      <c r="E159" t="s">
        <v>186</v>
      </c>
      <c r="F159" t="s">
        <v>331</v>
      </c>
      <c r="G159">
        <v>2</v>
      </c>
      <c r="H159">
        <v>0</v>
      </c>
      <c r="I159">
        <v>3</v>
      </c>
      <c r="J159" t="b">
        <v>0</v>
      </c>
      <c r="K159" t="s">
        <v>1104</v>
      </c>
      <c r="L159">
        <v>36</v>
      </c>
      <c r="N159" t="s">
        <v>1107</v>
      </c>
      <c r="O159">
        <v>66.8</v>
      </c>
      <c r="P159">
        <v>7.56</v>
      </c>
      <c r="Q159" t="s">
        <v>1110</v>
      </c>
    </row>
    <row r="160" spans="1:17">
      <c r="A160" s="2">
        <v>45880</v>
      </c>
      <c r="B160">
        <v>8</v>
      </c>
      <c r="C160">
        <v>19</v>
      </c>
      <c r="D160" t="s">
        <v>27</v>
      </c>
      <c r="E160" t="s">
        <v>187</v>
      </c>
      <c r="F160" t="s">
        <v>332</v>
      </c>
      <c r="G160">
        <v>0</v>
      </c>
      <c r="H160">
        <v>3</v>
      </c>
      <c r="I160">
        <v>0</v>
      </c>
      <c r="J160" t="b">
        <v>0</v>
      </c>
      <c r="K160" t="s">
        <v>1104</v>
      </c>
      <c r="L160">
        <v>36</v>
      </c>
      <c r="M160">
        <v>5</v>
      </c>
      <c r="N160" t="s">
        <v>1107</v>
      </c>
      <c r="O160">
        <v>60.5</v>
      </c>
      <c r="P160">
        <v>7.6</v>
      </c>
      <c r="Q160" t="s">
        <v>1110</v>
      </c>
    </row>
    <row r="161" spans="1:17">
      <c r="A161" s="2">
        <v>45880</v>
      </c>
      <c r="B161">
        <v>8</v>
      </c>
      <c r="C161">
        <v>20</v>
      </c>
      <c r="D161" t="s">
        <v>28</v>
      </c>
      <c r="E161" t="s">
        <v>188</v>
      </c>
      <c r="F161" t="s">
        <v>333</v>
      </c>
      <c r="G161">
        <v>2</v>
      </c>
      <c r="H161">
        <v>0</v>
      </c>
      <c r="I161">
        <v>2</v>
      </c>
      <c r="J161" t="b">
        <v>0</v>
      </c>
      <c r="K161" t="s">
        <v>1104</v>
      </c>
      <c r="L161">
        <v>36</v>
      </c>
      <c r="N161" t="s">
        <v>1107</v>
      </c>
      <c r="O161">
        <v>69.5</v>
      </c>
      <c r="P161">
        <v>7.93</v>
      </c>
      <c r="Q161" t="s">
        <v>1110</v>
      </c>
    </row>
    <row r="162" spans="1:17">
      <c r="A162" s="2">
        <v>45881</v>
      </c>
      <c r="B162">
        <v>1</v>
      </c>
      <c r="C162">
        <v>1</v>
      </c>
      <c r="D162" t="s">
        <v>17</v>
      </c>
      <c r="E162" t="s">
        <v>29</v>
      </c>
      <c r="F162" t="s">
        <v>29</v>
      </c>
      <c r="G162">
        <v>0</v>
      </c>
      <c r="H162">
        <v>0</v>
      </c>
      <c r="I162">
        <v>0</v>
      </c>
      <c r="J162" t="b">
        <v>0</v>
      </c>
      <c r="L162">
        <v>33</v>
      </c>
      <c r="N162" t="s">
        <v>1107</v>
      </c>
      <c r="O162">
        <v>81.7</v>
      </c>
      <c r="P162">
        <v>6.59</v>
      </c>
      <c r="Q162" t="s">
        <v>1110</v>
      </c>
    </row>
    <row r="163" spans="1:17">
      <c r="A163" s="2">
        <v>45881</v>
      </c>
      <c r="B163">
        <v>1</v>
      </c>
      <c r="C163">
        <v>2</v>
      </c>
      <c r="D163" t="s">
        <v>1269</v>
      </c>
      <c r="E163" t="s">
        <v>30</v>
      </c>
      <c r="F163" t="s">
        <v>334</v>
      </c>
      <c r="G163">
        <v>4</v>
      </c>
      <c r="H163">
        <v>0</v>
      </c>
      <c r="I163">
        <v>4</v>
      </c>
      <c r="J163" t="b">
        <v>0</v>
      </c>
      <c r="L163">
        <v>33</v>
      </c>
      <c r="N163" t="s">
        <v>1107</v>
      </c>
      <c r="O163">
        <v>71.400000000000006</v>
      </c>
      <c r="P163">
        <v>7.78</v>
      </c>
      <c r="Q163" t="s">
        <v>1110</v>
      </c>
    </row>
    <row r="164" spans="1:17">
      <c r="A164" s="2">
        <v>45881</v>
      </c>
      <c r="B164">
        <v>1</v>
      </c>
      <c r="C164">
        <v>3</v>
      </c>
      <c r="D164" t="s">
        <v>18</v>
      </c>
      <c r="E164" t="s">
        <v>31</v>
      </c>
      <c r="F164" t="s">
        <v>335</v>
      </c>
      <c r="G164">
        <v>5</v>
      </c>
      <c r="H164">
        <v>0</v>
      </c>
      <c r="I164">
        <v>9</v>
      </c>
      <c r="J164" t="b">
        <v>0</v>
      </c>
      <c r="L164">
        <v>33</v>
      </c>
      <c r="N164" t="s">
        <v>1107</v>
      </c>
      <c r="O164">
        <v>73.2</v>
      </c>
      <c r="P164">
        <v>6</v>
      </c>
      <c r="Q164" t="s">
        <v>1110</v>
      </c>
    </row>
    <row r="165" spans="1:17">
      <c r="A165" s="2">
        <v>45881</v>
      </c>
      <c r="B165">
        <v>1</v>
      </c>
      <c r="C165">
        <v>4</v>
      </c>
      <c r="D165" t="s">
        <v>19</v>
      </c>
      <c r="E165" t="s">
        <v>32</v>
      </c>
      <c r="F165" t="s">
        <v>336</v>
      </c>
      <c r="G165">
        <v>2</v>
      </c>
      <c r="H165">
        <v>4</v>
      </c>
      <c r="I165">
        <v>7</v>
      </c>
      <c r="J165" t="b">
        <v>0</v>
      </c>
      <c r="L165">
        <v>33</v>
      </c>
      <c r="M165">
        <v>10</v>
      </c>
      <c r="N165" t="s">
        <v>1107</v>
      </c>
      <c r="O165">
        <v>68.7</v>
      </c>
      <c r="P165">
        <v>6.06</v>
      </c>
      <c r="Q165" t="s">
        <v>1110</v>
      </c>
    </row>
    <row r="166" spans="1:17">
      <c r="A166" s="2">
        <v>45881</v>
      </c>
      <c r="B166">
        <v>1</v>
      </c>
      <c r="C166">
        <v>5</v>
      </c>
      <c r="D166" t="s">
        <v>1115</v>
      </c>
      <c r="E166" t="s">
        <v>33</v>
      </c>
      <c r="F166" t="s">
        <v>337</v>
      </c>
      <c r="G166">
        <v>3</v>
      </c>
      <c r="H166">
        <v>2</v>
      </c>
      <c r="I166">
        <v>8</v>
      </c>
      <c r="J166" t="b">
        <v>0</v>
      </c>
      <c r="L166">
        <v>33</v>
      </c>
      <c r="N166" t="s">
        <v>1107</v>
      </c>
      <c r="O166">
        <v>84.5</v>
      </c>
      <c r="P166">
        <v>6.5</v>
      </c>
      <c r="Q166" t="s">
        <v>1111</v>
      </c>
    </row>
    <row r="167" spans="1:17">
      <c r="A167" s="2">
        <v>45881</v>
      </c>
      <c r="B167">
        <v>1</v>
      </c>
      <c r="C167">
        <v>6</v>
      </c>
      <c r="D167" t="s">
        <v>1270</v>
      </c>
      <c r="E167" t="s">
        <v>34</v>
      </c>
      <c r="F167" t="s">
        <v>338</v>
      </c>
      <c r="G167">
        <v>1</v>
      </c>
      <c r="H167">
        <v>4</v>
      </c>
      <c r="I167">
        <v>5</v>
      </c>
      <c r="J167" t="b">
        <v>0</v>
      </c>
      <c r="L167">
        <v>33</v>
      </c>
      <c r="M167">
        <v>10</v>
      </c>
      <c r="N167" t="s">
        <v>1107</v>
      </c>
      <c r="O167">
        <v>82</v>
      </c>
      <c r="P167">
        <v>7.67</v>
      </c>
      <c r="Q167" t="s">
        <v>1111</v>
      </c>
    </row>
    <row r="168" spans="1:17">
      <c r="A168" s="2">
        <v>45881</v>
      </c>
      <c r="B168">
        <v>1</v>
      </c>
      <c r="C168">
        <v>7</v>
      </c>
      <c r="D168" t="s">
        <v>1114</v>
      </c>
      <c r="E168" t="s">
        <v>35</v>
      </c>
      <c r="F168" t="s">
        <v>339</v>
      </c>
      <c r="G168">
        <v>3</v>
      </c>
      <c r="H168">
        <v>5</v>
      </c>
      <c r="I168">
        <v>3</v>
      </c>
      <c r="J168" t="b">
        <v>0</v>
      </c>
      <c r="L168">
        <v>33</v>
      </c>
      <c r="M168">
        <v>9.6</v>
      </c>
      <c r="N168" t="s">
        <v>1107</v>
      </c>
      <c r="O168">
        <v>73.900000000000006</v>
      </c>
      <c r="P168">
        <v>5.84</v>
      </c>
      <c r="Q168" t="s">
        <v>1110</v>
      </c>
    </row>
    <row r="169" spans="1:17">
      <c r="A169" s="2">
        <v>45881</v>
      </c>
      <c r="B169">
        <v>1</v>
      </c>
      <c r="C169">
        <v>8</v>
      </c>
      <c r="D169" t="s">
        <v>1271</v>
      </c>
      <c r="E169" t="s">
        <v>36</v>
      </c>
      <c r="F169" t="s">
        <v>340</v>
      </c>
      <c r="G169">
        <v>4</v>
      </c>
      <c r="H169">
        <v>1</v>
      </c>
      <c r="I169">
        <v>6</v>
      </c>
      <c r="J169" t="b">
        <v>0</v>
      </c>
      <c r="L169">
        <v>33</v>
      </c>
      <c r="M169">
        <v>10</v>
      </c>
      <c r="N169" t="s">
        <v>1107</v>
      </c>
      <c r="O169">
        <v>76.400000000000006</v>
      </c>
      <c r="P169">
        <v>5.26</v>
      </c>
      <c r="Q169" t="s">
        <v>1110</v>
      </c>
    </row>
    <row r="170" spans="1:17">
      <c r="A170" s="2">
        <v>45881</v>
      </c>
      <c r="B170">
        <v>1</v>
      </c>
      <c r="C170">
        <v>9</v>
      </c>
      <c r="D170" t="s">
        <v>20</v>
      </c>
      <c r="E170" t="s">
        <v>37</v>
      </c>
      <c r="F170" t="s">
        <v>341</v>
      </c>
      <c r="G170">
        <v>4</v>
      </c>
      <c r="H170">
        <v>3</v>
      </c>
      <c r="I170">
        <v>7</v>
      </c>
      <c r="J170" t="b">
        <v>0</v>
      </c>
      <c r="L170">
        <v>33</v>
      </c>
      <c r="M170">
        <v>9.8000000000000007</v>
      </c>
      <c r="N170" t="s">
        <v>1109</v>
      </c>
      <c r="O170">
        <v>75.3</v>
      </c>
      <c r="P170">
        <v>6.88</v>
      </c>
      <c r="Q170" t="s">
        <v>1110</v>
      </c>
    </row>
    <row r="171" spans="1:17">
      <c r="A171" s="2">
        <v>45881</v>
      </c>
      <c r="B171">
        <v>1</v>
      </c>
      <c r="C171">
        <v>10</v>
      </c>
      <c r="D171" t="s">
        <v>1113</v>
      </c>
      <c r="E171" t="s">
        <v>38</v>
      </c>
      <c r="F171" t="s">
        <v>342</v>
      </c>
      <c r="G171">
        <v>2</v>
      </c>
      <c r="H171">
        <v>2</v>
      </c>
      <c r="I171">
        <v>7</v>
      </c>
      <c r="J171" t="b">
        <v>0</v>
      </c>
      <c r="L171">
        <v>33</v>
      </c>
      <c r="M171">
        <v>10</v>
      </c>
      <c r="N171" t="s">
        <v>1107</v>
      </c>
      <c r="O171">
        <v>63.8</v>
      </c>
      <c r="P171">
        <v>7.91</v>
      </c>
      <c r="Q171" t="s">
        <v>1111</v>
      </c>
    </row>
    <row r="172" spans="1:17">
      <c r="A172" s="2">
        <v>45881</v>
      </c>
      <c r="B172">
        <v>1</v>
      </c>
      <c r="C172">
        <v>11</v>
      </c>
      <c r="D172" t="s">
        <v>1272</v>
      </c>
      <c r="E172" t="s">
        <v>39</v>
      </c>
      <c r="F172" t="s">
        <v>343</v>
      </c>
      <c r="G172">
        <v>4</v>
      </c>
      <c r="H172">
        <v>4</v>
      </c>
      <c r="I172">
        <v>7</v>
      </c>
      <c r="J172" t="b">
        <v>0</v>
      </c>
      <c r="L172">
        <v>33</v>
      </c>
      <c r="M172">
        <v>9.6999999999999993</v>
      </c>
      <c r="N172" t="s">
        <v>1107</v>
      </c>
      <c r="O172">
        <v>73.599999999999994</v>
      </c>
      <c r="P172">
        <v>5.62</v>
      </c>
      <c r="Q172" t="s">
        <v>1110</v>
      </c>
    </row>
    <row r="173" spans="1:17">
      <c r="A173" s="2">
        <v>45881</v>
      </c>
      <c r="B173">
        <v>1</v>
      </c>
      <c r="C173">
        <v>12</v>
      </c>
      <c r="D173" t="s">
        <v>21</v>
      </c>
      <c r="E173" t="s">
        <v>40</v>
      </c>
      <c r="F173" t="s">
        <v>344</v>
      </c>
      <c r="G173">
        <v>3</v>
      </c>
      <c r="H173">
        <v>3</v>
      </c>
      <c r="I173">
        <v>7</v>
      </c>
      <c r="J173" t="b">
        <v>0</v>
      </c>
      <c r="L173">
        <v>33</v>
      </c>
      <c r="M173">
        <v>10</v>
      </c>
      <c r="N173" t="s">
        <v>1107</v>
      </c>
      <c r="O173">
        <v>80</v>
      </c>
      <c r="P173">
        <v>7.59</v>
      </c>
      <c r="Q173" t="s">
        <v>1110</v>
      </c>
    </row>
    <row r="174" spans="1:17">
      <c r="A174" s="2">
        <v>45881</v>
      </c>
      <c r="B174">
        <v>1</v>
      </c>
      <c r="C174">
        <v>13</v>
      </c>
      <c r="D174" t="s">
        <v>22</v>
      </c>
      <c r="E174" t="s">
        <v>41</v>
      </c>
      <c r="F174" t="s">
        <v>345</v>
      </c>
      <c r="G174">
        <v>4</v>
      </c>
      <c r="H174">
        <v>1</v>
      </c>
      <c r="I174">
        <v>10</v>
      </c>
      <c r="J174" t="b">
        <v>0</v>
      </c>
      <c r="L174">
        <v>33</v>
      </c>
      <c r="M174">
        <v>9.6999999999999993</v>
      </c>
      <c r="N174" t="s">
        <v>1107</v>
      </c>
      <c r="O174">
        <v>73.099999999999994</v>
      </c>
      <c r="P174">
        <v>5.41</v>
      </c>
      <c r="Q174" t="s">
        <v>1112</v>
      </c>
    </row>
    <row r="175" spans="1:17">
      <c r="A175" s="2">
        <v>45881</v>
      </c>
      <c r="B175">
        <v>1</v>
      </c>
      <c r="C175">
        <v>14</v>
      </c>
      <c r="D175" t="s">
        <v>23</v>
      </c>
      <c r="E175" t="s">
        <v>42</v>
      </c>
      <c r="F175" t="s">
        <v>346</v>
      </c>
      <c r="G175">
        <v>1</v>
      </c>
      <c r="H175">
        <v>5</v>
      </c>
      <c r="I175">
        <v>6</v>
      </c>
      <c r="J175" t="b">
        <v>0</v>
      </c>
      <c r="L175">
        <v>33</v>
      </c>
      <c r="M175">
        <v>10</v>
      </c>
      <c r="N175" t="s">
        <v>1109</v>
      </c>
      <c r="O175">
        <v>63.6</v>
      </c>
      <c r="P175">
        <v>7.8</v>
      </c>
      <c r="Q175" t="s">
        <v>1111</v>
      </c>
    </row>
    <row r="176" spans="1:17">
      <c r="A176" s="2">
        <v>45881</v>
      </c>
      <c r="B176">
        <v>1</v>
      </c>
      <c r="C176">
        <v>15</v>
      </c>
      <c r="D176" t="s">
        <v>24</v>
      </c>
      <c r="E176" t="s">
        <v>43</v>
      </c>
      <c r="F176" t="s">
        <v>347</v>
      </c>
      <c r="G176">
        <v>4</v>
      </c>
      <c r="H176">
        <v>2</v>
      </c>
      <c r="I176">
        <v>8</v>
      </c>
      <c r="J176" t="b">
        <v>0</v>
      </c>
      <c r="L176">
        <v>33</v>
      </c>
      <c r="N176" t="s">
        <v>1107</v>
      </c>
      <c r="O176">
        <v>73.900000000000006</v>
      </c>
      <c r="P176">
        <v>7.85</v>
      </c>
      <c r="Q176" t="s">
        <v>1110</v>
      </c>
    </row>
    <row r="177" spans="1:17">
      <c r="A177" s="2">
        <v>45881</v>
      </c>
      <c r="B177">
        <v>1</v>
      </c>
      <c r="C177">
        <v>16</v>
      </c>
      <c r="D177" t="s">
        <v>1273</v>
      </c>
      <c r="E177" t="s">
        <v>44</v>
      </c>
      <c r="F177" t="s">
        <v>348</v>
      </c>
      <c r="G177">
        <v>2</v>
      </c>
      <c r="H177">
        <v>4</v>
      </c>
      <c r="I177">
        <v>6</v>
      </c>
      <c r="J177" t="b">
        <v>0</v>
      </c>
      <c r="L177">
        <v>33</v>
      </c>
      <c r="M177">
        <v>10</v>
      </c>
      <c r="N177" t="s">
        <v>1107</v>
      </c>
      <c r="O177">
        <v>82</v>
      </c>
      <c r="P177">
        <v>7.18</v>
      </c>
      <c r="Q177" t="s">
        <v>1110</v>
      </c>
    </row>
    <row r="178" spans="1:17">
      <c r="A178" s="2">
        <v>45881</v>
      </c>
      <c r="B178">
        <v>1</v>
      </c>
      <c r="C178">
        <v>17</v>
      </c>
      <c r="D178" t="s">
        <v>25</v>
      </c>
      <c r="E178" t="s">
        <v>45</v>
      </c>
      <c r="F178" t="s">
        <v>349</v>
      </c>
      <c r="G178">
        <v>5</v>
      </c>
      <c r="H178">
        <v>1</v>
      </c>
      <c r="I178">
        <v>10</v>
      </c>
      <c r="J178" t="b">
        <v>0</v>
      </c>
      <c r="K178" t="s">
        <v>1104</v>
      </c>
      <c r="L178">
        <v>33</v>
      </c>
      <c r="M178">
        <v>5.9</v>
      </c>
      <c r="N178" t="s">
        <v>1107</v>
      </c>
      <c r="O178">
        <v>70.400000000000006</v>
      </c>
      <c r="P178">
        <v>6.23</v>
      </c>
      <c r="Q178" t="s">
        <v>1110</v>
      </c>
    </row>
    <row r="179" spans="1:17">
      <c r="A179" s="2">
        <v>45881</v>
      </c>
      <c r="B179">
        <v>1</v>
      </c>
      <c r="C179">
        <v>18</v>
      </c>
      <c r="D179" t="s">
        <v>26</v>
      </c>
      <c r="E179" t="s">
        <v>46</v>
      </c>
      <c r="F179" t="s">
        <v>350</v>
      </c>
      <c r="G179">
        <v>1</v>
      </c>
      <c r="H179">
        <v>1</v>
      </c>
      <c r="I179">
        <v>10</v>
      </c>
      <c r="J179" t="b">
        <v>0</v>
      </c>
      <c r="K179" t="s">
        <v>1104</v>
      </c>
      <c r="L179">
        <v>33</v>
      </c>
      <c r="M179">
        <v>5.8</v>
      </c>
      <c r="N179" t="s">
        <v>1108</v>
      </c>
      <c r="O179">
        <v>82.4</v>
      </c>
      <c r="P179">
        <v>7.8</v>
      </c>
      <c r="Q179" t="s">
        <v>1110</v>
      </c>
    </row>
    <row r="180" spans="1:17">
      <c r="A180" s="2">
        <v>45881</v>
      </c>
      <c r="B180">
        <v>1</v>
      </c>
      <c r="C180">
        <v>19</v>
      </c>
      <c r="D180" t="s">
        <v>27</v>
      </c>
      <c r="E180" t="s">
        <v>47</v>
      </c>
      <c r="F180" t="s">
        <v>351</v>
      </c>
      <c r="G180">
        <v>3</v>
      </c>
      <c r="H180">
        <v>1</v>
      </c>
      <c r="I180">
        <v>12</v>
      </c>
      <c r="J180" t="b">
        <v>0</v>
      </c>
      <c r="K180" t="s">
        <v>1104</v>
      </c>
      <c r="L180">
        <v>33</v>
      </c>
      <c r="M180">
        <v>5.9</v>
      </c>
      <c r="N180" t="s">
        <v>1107</v>
      </c>
      <c r="O180">
        <v>62.7</v>
      </c>
      <c r="P180">
        <v>5.55</v>
      </c>
      <c r="Q180" t="s">
        <v>1110</v>
      </c>
    </row>
    <row r="181" spans="1:17">
      <c r="A181" s="2">
        <v>45881</v>
      </c>
      <c r="B181">
        <v>1</v>
      </c>
      <c r="C181">
        <v>20</v>
      </c>
      <c r="D181" t="s">
        <v>28</v>
      </c>
      <c r="E181" t="s">
        <v>48</v>
      </c>
      <c r="F181" t="s">
        <v>352</v>
      </c>
      <c r="G181">
        <v>3</v>
      </c>
      <c r="H181">
        <v>0</v>
      </c>
      <c r="I181">
        <v>15</v>
      </c>
      <c r="J181" t="b">
        <v>0</v>
      </c>
      <c r="K181" t="s">
        <v>1104</v>
      </c>
      <c r="L181">
        <v>33</v>
      </c>
      <c r="N181" t="s">
        <v>1107</v>
      </c>
      <c r="O181">
        <v>66.7</v>
      </c>
      <c r="P181">
        <v>6.7</v>
      </c>
      <c r="Q181" t="s">
        <v>1110</v>
      </c>
    </row>
    <row r="182" spans="1:17">
      <c r="A182" s="2">
        <v>45881</v>
      </c>
      <c r="B182">
        <v>2</v>
      </c>
      <c r="C182">
        <v>1</v>
      </c>
      <c r="D182" t="s">
        <v>17</v>
      </c>
      <c r="E182" t="s">
        <v>49</v>
      </c>
      <c r="F182" t="s">
        <v>353</v>
      </c>
      <c r="G182">
        <v>0</v>
      </c>
      <c r="H182">
        <v>0</v>
      </c>
      <c r="I182">
        <v>0</v>
      </c>
      <c r="J182" t="b">
        <v>0</v>
      </c>
      <c r="L182">
        <v>34</v>
      </c>
      <c r="N182" t="s">
        <v>1107</v>
      </c>
      <c r="O182">
        <v>77.2</v>
      </c>
      <c r="P182">
        <v>6.08</v>
      </c>
      <c r="Q182" t="s">
        <v>1110</v>
      </c>
    </row>
    <row r="183" spans="1:17">
      <c r="A183" s="2">
        <v>45881</v>
      </c>
      <c r="B183">
        <v>2</v>
      </c>
      <c r="C183">
        <v>2</v>
      </c>
      <c r="D183" t="s">
        <v>1269</v>
      </c>
      <c r="E183" t="s">
        <v>50</v>
      </c>
      <c r="F183" t="s">
        <v>209</v>
      </c>
      <c r="G183">
        <v>5</v>
      </c>
      <c r="H183">
        <v>0</v>
      </c>
      <c r="I183">
        <v>5</v>
      </c>
      <c r="J183" t="b">
        <v>0</v>
      </c>
      <c r="L183">
        <v>34</v>
      </c>
      <c r="N183" t="s">
        <v>1107</v>
      </c>
      <c r="O183">
        <v>72.599999999999994</v>
      </c>
      <c r="P183">
        <v>6.81</v>
      </c>
      <c r="Q183" t="s">
        <v>1110</v>
      </c>
    </row>
    <row r="184" spans="1:17">
      <c r="A184" s="2">
        <v>45881</v>
      </c>
      <c r="B184">
        <v>2</v>
      </c>
      <c r="C184">
        <v>3</v>
      </c>
      <c r="D184" t="s">
        <v>18</v>
      </c>
      <c r="E184" t="s">
        <v>51</v>
      </c>
      <c r="F184" t="s">
        <v>354</v>
      </c>
      <c r="G184">
        <v>3</v>
      </c>
      <c r="H184">
        <v>3</v>
      </c>
      <c r="I184">
        <v>5</v>
      </c>
      <c r="J184" t="b">
        <v>0</v>
      </c>
      <c r="L184">
        <v>34</v>
      </c>
      <c r="M184">
        <v>9.9</v>
      </c>
      <c r="N184" t="s">
        <v>1107</v>
      </c>
      <c r="O184">
        <v>81.3</v>
      </c>
      <c r="P184">
        <v>6.47</v>
      </c>
      <c r="Q184" t="s">
        <v>1110</v>
      </c>
    </row>
    <row r="185" spans="1:17">
      <c r="A185" s="2">
        <v>45881</v>
      </c>
      <c r="B185">
        <v>2</v>
      </c>
      <c r="C185">
        <v>4</v>
      </c>
      <c r="D185" t="s">
        <v>19</v>
      </c>
      <c r="E185" t="s">
        <v>52</v>
      </c>
      <c r="F185" t="s">
        <v>355</v>
      </c>
      <c r="G185">
        <v>5</v>
      </c>
      <c r="H185">
        <v>5</v>
      </c>
      <c r="I185">
        <v>5</v>
      </c>
      <c r="J185" t="b">
        <v>0</v>
      </c>
      <c r="L185">
        <v>34</v>
      </c>
      <c r="N185" t="s">
        <v>1107</v>
      </c>
      <c r="O185">
        <v>60.8</v>
      </c>
      <c r="P185">
        <v>7.29</v>
      </c>
      <c r="Q185" t="s">
        <v>1110</v>
      </c>
    </row>
    <row r="186" spans="1:17">
      <c r="A186" s="2">
        <v>45881</v>
      </c>
      <c r="B186">
        <v>2</v>
      </c>
      <c r="C186">
        <v>5</v>
      </c>
      <c r="D186" t="s">
        <v>1115</v>
      </c>
      <c r="E186" t="s">
        <v>53</v>
      </c>
      <c r="F186" t="s">
        <v>356</v>
      </c>
      <c r="G186">
        <v>3</v>
      </c>
      <c r="H186">
        <v>0</v>
      </c>
      <c r="I186">
        <v>8</v>
      </c>
      <c r="J186" t="b">
        <v>0</v>
      </c>
      <c r="L186">
        <v>34</v>
      </c>
      <c r="N186" t="s">
        <v>1107</v>
      </c>
      <c r="O186">
        <v>70.3</v>
      </c>
      <c r="P186">
        <v>7.23</v>
      </c>
      <c r="Q186" t="s">
        <v>1112</v>
      </c>
    </row>
    <row r="187" spans="1:17">
      <c r="A187" s="2">
        <v>45881</v>
      </c>
      <c r="B187">
        <v>2</v>
      </c>
      <c r="C187">
        <v>6</v>
      </c>
      <c r="D187" t="s">
        <v>1270</v>
      </c>
      <c r="E187" t="s">
        <v>54</v>
      </c>
      <c r="F187" t="s">
        <v>357</v>
      </c>
      <c r="G187">
        <v>4</v>
      </c>
      <c r="H187">
        <v>5</v>
      </c>
      <c r="I187">
        <v>7</v>
      </c>
      <c r="J187" t="b">
        <v>0</v>
      </c>
      <c r="L187">
        <v>34</v>
      </c>
      <c r="M187">
        <v>9.4</v>
      </c>
      <c r="N187" t="s">
        <v>1107</v>
      </c>
      <c r="O187">
        <v>61.7</v>
      </c>
      <c r="P187">
        <v>7.78</v>
      </c>
      <c r="Q187" t="s">
        <v>1112</v>
      </c>
    </row>
    <row r="188" spans="1:17">
      <c r="A188" s="2">
        <v>45881</v>
      </c>
      <c r="B188">
        <v>2</v>
      </c>
      <c r="C188">
        <v>7</v>
      </c>
      <c r="D188" t="s">
        <v>1114</v>
      </c>
      <c r="E188" t="s">
        <v>55</v>
      </c>
      <c r="F188" t="s">
        <v>358</v>
      </c>
      <c r="G188">
        <v>1</v>
      </c>
      <c r="H188">
        <v>4</v>
      </c>
      <c r="I188">
        <v>4</v>
      </c>
      <c r="J188" t="b">
        <v>0</v>
      </c>
      <c r="L188">
        <v>34</v>
      </c>
      <c r="M188">
        <v>10</v>
      </c>
      <c r="N188" t="s">
        <v>1107</v>
      </c>
      <c r="O188">
        <v>72.2</v>
      </c>
      <c r="P188">
        <v>5.97</v>
      </c>
      <c r="Q188" t="s">
        <v>1110</v>
      </c>
    </row>
    <row r="189" spans="1:17">
      <c r="A189" s="2">
        <v>45881</v>
      </c>
      <c r="B189">
        <v>2</v>
      </c>
      <c r="C189">
        <v>8</v>
      </c>
      <c r="D189" t="s">
        <v>1271</v>
      </c>
      <c r="E189" t="s">
        <v>56</v>
      </c>
      <c r="F189" t="s">
        <v>359</v>
      </c>
      <c r="G189">
        <v>3</v>
      </c>
      <c r="H189">
        <v>0</v>
      </c>
      <c r="I189">
        <v>7</v>
      </c>
      <c r="J189" t="b">
        <v>0</v>
      </c>
      <c r="L189">
        <v>34</v>
      </c>
      <c r="N189" t="s">
        <v>1107</v>
      </c>
      <c r="O189">
        <v>70.099999999999994</v>
      </c>
      <c r="P189">
        <v>5.13</v>
      </c>
      <c r="Q189" t="s">
        <v>1110</v>
      </c>
    </row>
    <row r="190" spans="1:17">
      <c r="A190" s="2">
        <v>45881</v>
      </c>
      <c r="B190">
        <v>2</v>
      </c>
      <c r="C190">
        <v>9</v>
      </c>
      <c r="D190" t="s">
        <v>20</v>
      </c>
      <c r="E190" t="s">
        <v>57</v>
      </c>
      <c r="F190" t="s">
        <v>360</v>
      </c>
      <c r="G190">
        <v>5</v>
      </c>
      <c r="H190">
        <v>3</v>
      </c>
      <c r="I190">
        <v>9</v>
      </c>
      <c r="J190" t="b">
        <v>0</v>
      </c>
      <c r="L190">
        <v>34</v>
      </c>
      <c r="M190">
        <v>8.6999999999999993</v>
      </c>
      <c r="N190" t="s">
        <v>1107</v>
      </c>
      <c r="O190">
        <v>67.8</v>
      </c>
      <c r="P190">
        <v>6.83</v>
      </c>
      <c r="Q190" t="s">
        <v>1110</v>
      </c>
    </row>
    <row r="191" spans="1:17">
      <c r="A191" s="2">
        <v>45881</v>
      </c>
      <c r="B191">
        <v>2</v>
      </c>
      <c r="C191">
        <v>10</v>
      </c>
      <c r="D191" t="s">
        <v>1113</v>
      </c>
      <c r="E191" t="s">
        <v>58</v>
      </c>
      <c r="F191" t="s">
        <v>361</v>
      </c>
      <c r="G191">
        <v>4</v>
      </c>
      <c r="H191">
        <v>4</v>
      </c>
      <c r="I191">
        <v>9</v>
      </c>
      <c r="J191" t="b">
        <v>0</v>
      </c>
      <c r="L191">
        <v>34</v>
      </c>
      <c r="N191" t="s">
        <v>1107</v>
      </c>
      <c r="O191">
        <v>73.099999999999994</v>
      </c>
      <c r="P191">
        <v>7.63</v>
      </c>
      <c r="Q191" t="s">
        <v>1110</v>
      </c>
    </row>
    <row r="192" spans="1:17">
      <c r="A192" s="2">
        <v>45881</v>
      </c>
      <c r="B192">
        <v>2</v>
      </c>
      <c r="C192">
        <v>11</v>
      </c>
      <c r="D192" t="s">
        <v>1272</v>
      </c>
      <c r="E192" t="s">
        <v>59</v>
      </c>
      <c r="F192" t="s">
        <v>362</v>
      </c>
      <c r="G192">
        <v>4</v>
      </c>
      <c r="H192">
        <v>3</v>
      </c>
      <c r="I192">
        <v>10</v>
      </c>
      <c r="J192" t="b">
        <v>0</v>
      </c>
      <c r="L192">
        <v>34</v>
      </c>
      <c r="M192">
        <v>9.3000000000000007</v>
      </c>
      <c r="N192" t="s">
        <v>1107</v>
      </c>
      <c r="O192">
        <v>71.3</v>
      </c>
      <c r="P192">
        <v>7.48</v>
      </c>
      <c r="Q192" t="s">
        <v>1110</v>
      </c>
    </row>
    <row r="193" spans="1:17">
      <c r="A193" s="2">
        <v>45881</v>
      </c>
      <c r="B193">
        <v>2</v>
      </c>
      <c r="C193">
        <v>12</v>
      </c>
      <c r="D193" t="s">
        <v>21</v>
      </c>
      <c r="E193" t="s">
        <v>60</v>
      </c>
      <c r="F193" t="s">
        <v>363</v>
      </c>
      <c r="G193">
        <v>3</v>
      </c>
      <c r="H193">
        <v>4</v>
      </c>
      <c r="I193">
        <v>9</v>
      </c>
      <c r="J193" t="b">
        <v>0</v>
      </c>
      <c r="L193">
        <v>34</v>
      </c>
      <c r="M193">
        <v>8.5</v>
      </c>
      <c r="N193" t="s">
        <v>1106</v>
      </c>
      <c r="O193">
        <v>73</v>
      </c>
      <c r="P193">
        <v>6.19</v>
      </c>
      <c r="Q193" t="s">
        <v>1110</v>
      </c>
    </row>
    <row r="194" spans="1:17">
      <c r="A194" s="2">
        <v>45881</v>
      </c>
      <c r="B194">
        <v>2</v>
      </c>
      <c r="C194">
        <v>13</v>
      </c>
      <c r="D194" t="s">
        <v>22</v>
      </c>
      <c r="E194" t="s">
        <v>61</v>
      </c>
      <c r="F194" t="s">
        <v>364</v>
      </c>
      <c r="G194">
        <v>3</v>
      </c>
      <c r="H194">
        <v>4</v>
      </c>
      <c r="I194">
        <v>8</v>
      </c>
      <c r="J194" t="b">
        <v>0</v>
      </c>
      <c r="L194">
        <v>34</v>
      </c>
      <c r="M194">
        <v>8.3000000000000007</v>
      </c>
      <c r="N194" t="s">
        <v>1107</v>
      </c>
      <c r="O194">
        <v>72.900000000000006</v>
      </c>
      <c r="P194">
        <v>6.89</v>
      </c>
      <c r="Q194" t="s">
        <v>1110</v>
      </c>
    </row>
    <row r="195" spans="1:17">
      <c r="A195" s="2">
        <v>45881</v>
      </c>
      <c r="B195">
        <v>2</v>
      </c>
      <c r="C195">
        <v>14</v>
      </c>
      <c r="D195" t="s">
        <v>23</v>
      </c>
      <c r="E195" t="s">
        <v>62</v>
      </c>
      <c r="F195" t="s">
        <v>365</v>
      </c>
      <c r="G195">
        <v>3</v>
      </c>
      <c r="H195">
        <v>5</v>
      </c>
      <c r="I195">
        <v>6</v>
      </c>
      <c r="J195" t="b">
        <v>0</v>
      </c>
      <c r="L195">
        <v>34</v>
      </c>
      <c r="N195" t="s">
        <v>1107</v>
      </c>
      <c r="O195">
        <v>70</v>
      </c>
      <c r="P195">
        <v>5.91</v>
      </c>
      <c r="Q195" t="s">
        <v>1111</v>
      </c>
    </row>
    <row r="196" spans="1:17">
      <c r="A196" s="2">
        <v>45881</v>
      </c>
      <c r="B196">
        <v>2</v>
      </c>
      <c r="C196">
        <v>15</v>
      </c>
      <c r="D196" t="s">
        <v>24</v>
      </c>
      <c r="E196" t="s">
        <v>63</v>
      </c>
      <c r="F196" t="s">
        <v>366</v>
      </c>
      <c r="G196">
        <v>5</v>
      </c>
      <c r="H196">
        <v>1</v>
      </c>
      <c r="I196">
        <v>10</v>
      </c>
      <c r="J196" t="b">
        <v>0</v>
      </c>
      <c r="L196">
        <v>34</v>
      </c>
      <c r="M196">
        <v>10</v>
      </c>
      <c r="N196" t="s">
        <v>1107</v>
      </c>
      <c r="O196">
        <v>70.599999999999994</v>
      </c>
      <c r="P196">
        <v>6.84</v>
      </c>
      <c r="Q196" t="s">
        <v>1110</v>
      </c>
    </row>
    <row r="197" spans="1:17">
      <c r="A197" s="2">
        <v>45881</v>
      </c>
      <c r="B197">
        <v>2</v>
      </c>
      <c r="C197">
        <v>16</v>
      </c>
      <c r="D197" t="s">
        <v>1273</v>
      </c>
      <c r="E197" t="s">
        <v>64</v>
      </c>
      <c r="F197" t="s">
        <v>64</v>
      </c>
      <c r="G197">
        <v>3</v>
      </c>
      <c r="H197">
        <v>4</v>
      </c>
      <c r="I197">
        <v>9</v>
      </c>
      <c r="J197" t="b">
        <v>0</v>
      </c>
      <c r="L197">
        <v>34</v>
      </c>
      <c r="M197">
        <v>9.6999999999999993</v>
      </c>
      <c r="N197" t="s">
        <v>1107</v>
      </c>
      <c r="O197">
        <v>63.6</v>
      </c>
      <c r="P197">
        <v>7.49</v>
      </c>
      <c r="Q197" t="s">
        <v>1110</v>
      </c>
    </row>
    <row r="198" spans="1:17">
      <c r="A198" s="2">
        <v>45881</v>
      </c>
      <c r="B198">
        <v>2</v>
      </c>
      <c r="C198">
        <v>17</v>
      </c>
      <c r="D198" t="s">
        <v>25</v>
      </c>
      <c r="E198" t="s">
        <v>65</v>
      </c>
      <c r="F198" t="s">
        <v>367</v>
      </c>
      <c r="G198">
        <v>3</v>
      </c>
      <c r="H198">
        <v>2</v>
      </c>
      <c r="I198">
        <v>10</v>
      </c>
      <c r="J198" t="b">
        <v>0</v>
      </c>
      <c r="K198" t="s">
        <v>1104</v>
      </c>
      <c r="L198">
        <v>34</v>
      </c>
      <c r="M198">
        <v>5.2</v>
      </c>
      <c r="N198" t="s">
        <v>1107</v>
      </c>
      <c r="O198">
        <v>62.8</v>
      </c>
      <c r="P198">
        <v>7.34</v>
      </c>
      <c r="Q198" t="s">
        <v>1111</v>
      </c>
    </row>
    <row r="199" spans="1:17">
      <c r="A199" s="2">
        <v>45881</v>
      </c>
      <c r="B199">
        <v>2</v>
      </c>
      <c r="C199">
        <v>18</v>
      </c>
      <c r="D199" t="s">
        <v>26</v>
      </c>
      <c r="E199" t="s">
        <v>66</v>
      </c>
      <c r="F199" t="s">
        <v>368</v>
      </c>
      <c r="G199">
        <v>1</v>
      </c>
      <c r="H199">
        <v>2</v>
      </c>
      <c r="I199">
        <v>9</v>
      </c>
      <c r="J199" t="b">
        <v>0</v>
      </c>
      <c r="K199" t="s">
        <v>1104</v>
      </c>
      <c r="L199">
        <v>34</v>
      </c>
      <c r="M199">
        <v>5.0999999999999996</v>
      </c>
      <c r="N199" t="s">
        <v>1107</v>
      </c>
      <c r="O199">
        <v>63.4</v>
      </c>
      <c r="P199">
        <v>6.24</v>
      </c>
      <c r="Q199" t="s">
        <v>1110</v>
      </c>
    </row>
    <row r="200" spans="1:17">
      <c r="A200" s="2">
        <v>45881</v>
      </c>
      <c r="B200">
        <v>2</v>
      </c>
      <c r="C200">
        <v>19</v>
      </c>
      <c r="D200" t="s">
        <v>27</v>
      </c>
      <c r="E200" t="s">
        <v>67</v>
      </c>
      <c r="F200" t="s">
        <v>369</v>
      </c>
      <c r="G200">
        <v>4</v>
      </c>
      <c r="H200">
        <v>2</v>
      </c>
      <c r="I200">
        <v>11</v>
      </c>
      <c r="J200" t="b">
        <v>0</v>
      </c>
      <c r="K200" t="s">
        <v>1104</v>
      </c>
      <c r="L200">
        <v>34</v>
      </c>
      <c r="M200">
        <v>5.2</v>
      </c>
      <c r="N200" t="s">
        <v>1107</v>
      </c>
      <c r="O200">
        <v>74.8</v>
      </c>
      <c r="P200">
        <v>7.14</v>
      </c>
      <c r="Q200" t="s">
        <v>1110</v>
      </c>
    </row>
    <row r="201" spans="1:17">
      <c r="A201" s="2">
        <v>45881</v>
      </c>
      <c r="B201">
        <v>2</v>
      </c>
      <c r="C201">
        <v>20</v>
      </c>
      <c r="D201" t="s">
        <v>28</v>
      </c>
      <c r="E201" t="s">
        <v>68</v>
      </c>
      <c r="F201" t="s">
        <v>370</v>
      </c>
      <c r="G201">
        <v>1</v>
      </c>
      <c r="H201">
        <v>1</v>
      </c>
      <c r="I201">
        <v>11</v>
      </c>
      <c r="J201" t="b">
        <v>0</v>
      </c>
      <c r="K201" t="s">
        <v>1104</v>
      </c>
      <c r="L201">
        <v>34</v>
      </c>
      <c r="M201">
        <v>5.3</v>
      </c>
      <c r="N201" t="s">
        <v>1107</v>
      </c>
      <c r="O201">
        <v>66.3</v>
      </c>
      <c r="P201">
        <v>7.08</v>
      </c>
      <c r="Q201" t="s">
        <v>1111</v>
      </c>
    </row>
    <row r="202" spans="1:17">
      <c r="A202" s="2">
        <v>45881</v>
      </c>
      <c r="B202">
        <v>3</v>
      </c>
      <c r="C202">
        <v>1</v>
      </c>
      <c r="D202" t="s">
        <v>17</v>
      </c>
      <c r="E202" t="s">
        <v>69</v>
      </c>
      <c r="F202" t="s">
        <v>371</v>
      </c>
      <c r="G202">
        <v>0</v>
      </c>
      <c r="H202">
        <v>0</v>
      </c>
      <c r="I202">
        <v>0</v>
      </c>
      <c r="J202" t="b">
        <v>0</v>
      </c>
      <c r="L202">
        <v>33</v>
      </c>
      <c r="N202" t="s">
        <v>1107</v>
      </c>
      <c r="O202">
        <v>78</v>
      </c>
      <c r="P202">
        <v>5.37</v>
      </c>
      <c r="Q202" t="s">
        <v>1110</v>
      </c>
    </row>
    <row r="203" spans="1:17">
      <c r="A203" s="2">
        <v>45881</v>
      </c>
      <c r="B203">
        <v>3</v>
      </c>
      <c r="C203">
        <v>2</v>
      </c>
      <c r="D203" t="s">
        <v>1269</v>
      </c>
      <c r="E203" t="s">
        <v>70</v>
      </c>
      <c r="F203" t="s">
        <v>372</v>
      </c>
      <c r="G203">
        <v>3</v>
      </c>
      <c r="H203">
        <v>0</v>
      </c>
      <c r="I203">
        <v>3</v>
      </c>
      <c r="J203" t="b">
        <v>0</v>
      </c>
      <c r="L203">
        <v>33</v>
      </c>
      <c r="N203" t="s">
        <v>1107</v>
      </c>
      <c r="O203">
        <v>69.099999999999994</v>
      </c>
      <c r="P203">
        <v>6.57</v>
      </c>
      <c r="Q203" t="s">
        <v>1110</v>
      </c>
    </row>
    <row r="204" spans="1:17">
      <c r="A204" s="2">
        <v>45881</v>
      </c>
      <c r="B204">
        <v>3</v>
      </c>
      <c r="C204">
        <v>3</v>
      </c>
      <c r="D204" t="s">
        <v>18</v>
      </c>
      <c r="E204" t="s">
        <v>71</v>
      </c>
      <c r="F204" t="s">
        <v>373</v>
      </c>
      <c r="G204">
        <v>3</v>
      </c>
      <c r="H204">
        <v>3</v>
      </c>
      <c r="I204">
        <v>3</v>
      </c>
      <c r="J204" t="b">
        <v>0</v>
      </c>
      <c r="L204">
        <v>33</v>
      </c>
      <c r="M204">
        <v>10</v>
      </c>
      <c r="N204" t="s">
        <v>1107</v>
      </c>
      <c r="O204">
        <v>72.8</v>
      </c>
      <c r="P204">
        <v>7.85</v>
      </c>
      <c r="Q204" t="s">
        <v>1110</v>
      </c>
    </row>
    <row r="205" spans="1:17">
      <c r="A205" s="2">
        <v>45881</v>
      </c>
      <c r="B205">
        <v>3</v>
      </c>
      <c r="C205">
        <v>4</v>
      </c>
      <c r="D205" t="s">
        <v>19</v>
      </c>
      <c r="E205" t="s">
        <v>72</v>
      </c>
      <c r="F205" t="s">
        <v>374</v>
      </c>
      <c r="G205">
        <v>3</v>
      </c>
      <c r="H205">
        <v>3</v>
      </c>
      <c r="I205">
        <v>3</v>
      </c>
      <c r="J205" t="b">
        <v>0</v>
      </c>
      <c r="L205">
        <v>33</v>
      </c>
      <c r="M205">
        <v>9.6</v>
      </c>
      <c r="N205" t="s">
        <v>1107</v>
      </c>
      <c r="O205">
        <v>79.2</v>
      </c>
      <c r="P205">
        <v>7.74</v>
      </c>
      <c r="Q205" t="s">
        <v>1110</v>
      </c>
    </row>
    <row r="206" spans="1:17">
      <c r="A206" s="2">
        <v>45881</v>
      </c>
      <c r="B206">
        <v>3</v>
      </c>
      <c r="C206">
        <v>5</v>
      </c>
      <c r="D206" t="s">
        <v>1115</v>
      </c>
      <c r="E206" t="s">
        <v>73</v>
      </c>
      <c r="F206" t="s">
        <v>375</v>
      </c>
      <c r="G206">
        <v>4</v>
      </c>
      <c r="H206">
        <v>0</v>
      </c>
      <c r="I206">
        <v>7</v>
      </c>
      <c r="J206" t="b">
        <v>0</v>
      </c>
      <c r="L206">
        <v>33</v>
      </c>
      <c r="N206" t="s">
        <v>1107</v>
      </c>
      <c r="O206">
        <v>63.8</v>
      </c>
      <c r="P206">
        <v>7.61</v>
      </c>
      <c r="Q206" t="s">
        <v>1110</v>
      </c>
    </row>
    <row r="207" spans="1:17">
      <c r="A207" s="2">
        <v>45881</v>
      </c>
      <c r="B207">
        <v>3</v>
      </c>
      <c r="C207">
        <v>6</v>
      </c>
      <c r="D207" t="s">
        <v>1270</v>
      </c>
      <c r="E207" t="s">
        <v>74</v>
      </c>
      <c r="F207" t="s">
        <v>376</v>
      </c>
      <c r="G207">
        <v>0</v>
      </c>
      <c r="H207">
        <v>7</v>
      </c>
      <c r="I207">
        <v>0</v>
      </c>
      <c r="J207" t="b">
        <v>1</v>
      </c>
      <c r="L207">
        <v>33</v>
      </c>
      <c r="M207">
        <v>10</v>
      </c>
      <c r="N207" t="s">
        <v>1107</v>
      </c>
      <c r="O207">
        <v>89.2</v>
      </c>
      <c r="P207">
        <v>5.93</v>
      </c>
      <c r="Q207" t="s">
        <v>1110</v>
      </c>
    </row>
    <row r="208" spans="1:17">
      <c r="A208" s="2">
        <v>45881</v>
      </c>
      <c r="B208">
        <v>3</v>
      </c>
      <c r="C208">
        <v>7</v>
      </c>
      <c r="D208" t="s">
        <v>1114</v>
      </c>
      <c r="E208" t="s">
        <v>75</v>
      </c>
      <c r="G208">
        <v>0</v>
      </c>
      <c r="H208">
        <v>0</v>
      </c>
      <c r="I208">
        <v>0</v>
      </c>
      <c r="J208" t="b">
        <v>1</v>
      </c>
      <c r="K208" t="s">
        <v>1105</v>
      </c>
      <c r="L208">
        <v>33</v>
      </c>
      <c r="N208" t="s">
        <v>1107</v>
      </c>
      <c r="O208">
        <v>91.3</v>
      </c>
      <c r="P208">
        <v>5.35</v>
      </c>
      <c r="Q208" t="s">
        <v>1110</v>
      </c>
    </row>
    <row r="209" spans="1:17">
      <c r="A209" s="2">
        <v>45881</v>
      </c>
      <c r="B209">
        <v>3</v>
      </c>
      <c r="C209">
        <v>8</v>
      </c>
      <c r="D209" t="s">
        <v>1271</v>
      </c>
      <c r="E209" t="s">
        <v>76</v>
      </c>
      <c r="G209">
        <v>0</v>
      </c>
      <c r="H209">
        <v>0</v>
      </c>
      <c r="I209">
        <v>0</v>
      </c>
      <c r="J209" t="b">
        <v>1</v>
      </c>
      <c r="K209" t="s">
        <v>1105</v>
      </c>
      <c r="L209">
        <v>33</v>
      </c>
      <c r="N209" t="s">
        <v>1107</v>
      </c>
      <c r="O209">
        <v>91.2</v>
      </c>
      <c r="P209">
        <v>5.76</v>
      </c>
      <c r="Q209" t="s">
        <v>1110</v>
      </c>
    </row>
    <row r="210" spans="1:17">
      <c r="A210" s="2">
        <v>45881</v>
      </c>
      <c r="B210">
        <v>3</v>
      </c>
      <c r="C210">
        <v>9</v>
      </c>
      <c r="D210" t="s">
        <v>20</v>
      </c>
      <c r="E210" t="s">
        <v>77</v>
      </c>
      <c r="G210">
        <v>0</v>
      </c>
      <c r="H210">
        <v>0</v>
      </c>
      <c r="I210">
        <v>0</v>
      </c>
      <c r="J210" t="b">
        <v>1</v>
      </c>
      <c r="K210" t="s">
        <v>1105</v>
      </c>
      <c r="L210">
        <v>33</v>
      </c>
      <c r="N210" t="s">
        <v>1107</v>
      </c>
      <c r="O210">
        <v>90.4</v>
      </c>
      <c r="P210">
        <v>5.0199999999999996</v>
      </c>
      <c r="Q210" t="s">
        <v>1111</v>
      </c>
    </row>
    <row r="211" spans="1:17">
      <c r="A211" s="2">
        <v>45881</v>
      </c>
      <c r="B211">
        <v>3</v>
      </c>
      <c r="C211">
        <v>10</v>
      </c>
      <c r="D211" t="s">
        <v>1113</v>
      </c>
      <c r="E211" t="s">
        <v>78</v>
      </c>
      <c r="G211">
        <v>0</v>
      </c>
      <c r="H211">
        <v>0</v>
      </c>
      <c r="I211">
        <v>0</v>
      </c>
      <c r="J211" t="b">
        <v>1</v>
      </c>
      <c r="K211" t="s">
        <v>1105</v>
      </c>
      <c r="L211">
        <v>33</v>
      </c>
      <c r="N211" t="s">
        <v>1107</v>
      </c>
      <c r="O211">
        <v>90.9</v>
      </c>
      <c r="P211">
        <v>6.43</v>
      </c>
      <c r="Q211" t="s">
        <v>1110</v>
      </c>
    </row>
    <row r="212" spans="1:17">
      <c r="A212" s="2">
        <v>45881</v>
      </c>
      <c r="B212">
        <v>3</v>
      </c>
      <c r="C212">
        <v>11</v>
      </c>
      <c r="D212" t="s">
        <v>1272</v>
      </c>
      <c r="E212" t="s">
        <v>79</v>
      </c>
      <c r="G212">
        <v>0</v>
      </c>
      <c r="H212">
        <v>0</v>
      </c>
      <c r="I212">
        <v>0</v>
      </c>
      <c r="J212" t="b">
        <v>1</v>
      </c>
      <c r="K212" t="s">
        <v>1105</v>
      </c>
      <c r="L212">
        <v>33</v>
      </c>
      <c r="N212" t="s">
        <v>1107</v>
      </c>
      <c r="O212">
        <v>91</v>
      </c>
      <c r="P212">
        <v>5.73</v>
      </c>
      <c r="Q212" t="s">
        <v>1110</v>
      </c>
    </row>
    <row r="213" spans="1:17">
      <c r="A213" s="2">
        <v>45881</v>
      </c>
      <c r="B213">
        <v>3</v>
      </c>
      <c r="C213">
        <v>12</v>
      </c>
      <c r="D213" t="s">
        <v>21</v>
      </c>
      <c r="E213" t="s">
        <v>80</v>
      </c>
      <c r="G213">
        <v>0</v>
      </c>
      <c r="H213">
        <v>0</v>
      </c>
      <c r="I213">
        <v>0</v>
      </c>
      <c r="J213" t="b">
        <v>1</v>
      </c>
      <c r="K213" t="s">
        <v>1105</v>
      </c>
      <c r="L213">
        <v>33</v>
      </c>
      <c r="N213" t="s">
        <v>1107</v>
      </c>
      <c r="O213">
        <v>90.6</v>
      </c>
      <c r="P213">
        <v>7.48</v>
      </c>
      <c r="Q213" t="s">
        <v>1110</v>
      </c>
    </row>
    <row r="214" spans="1:17">
      <c r="A214" s="2">
        <v>45881</v>
      </c>
      <c r="B214">
        <v>3</v>
      </c>
      <c r="C214">
        <v>13</v>
      </c>
      <c r="D214" t="s">
        <v>22</v>
      </c>
      <c r="E214" t="s">
        <v>81</v>
      </c>
      <c r="G214">
        <v>0</v>
      </c>
      <c r="H214">
        <v>0</v>
      </c>
      <c r="I214">
        <v>0</v>
      </c>
      <c r="J214" t="b">
        <v>1</v>
      </c>
      <c r="K214" t="s">
        <v>1105</v>
      </c>
      <c r="L214">
        <v>33</v>
      </c>
      <c r="N214" t="s">
        <v>1107</v>
      </c>
      <c r="O214">
        <v>91.5</v>
      </c>
      <c r="P214">
        <v>5.1100000000000003</v>
      </c>
      <c r="Q214" t="s">
        <v>1111</v>
      </c>
    </row>
    <row r="215" spans="1:17">
      <c r="A215" s="2">
        <v>45881</v>
      </c>
      <c r="B215">
        <v>3</v>
      </c>
      <c r="C215">
        <v>14</v>
      </c>
      <c r="D215" t="s">
        <v>23</v>
      </c>
      <c r="E215" t="s">
        <v>82</v>
      </c>
      <c r="G215">
        <v>0</v>
      </c>
      <c r="H215">
        <v>0</v>
      </c>
      <c r="I215">
        <v>0</v>
      </c>
      <c r="J215" t="b">
        <v>1</v>
      </c>
      <c r="K215" t="s">
        <v>1105</v>
      </c>
      <c r="L215">
        <v>33</v>
      </c>
      <c r="N215" t="s">
        <v>1107</v>
      </c>
      <c r="O215">
        <v>93.4</v>
      </c>
      <c r="P215">
        <v>5.9</v>
      </c>
      <c r="Q215" t="s">
        <v>1111</v>
      </c>
    </row>
    <row r="216" spans="1:17">
      <c r="A216" s="2">
        <v>45881</v>
      </c>
      <c r="B216">
        <v>3</v>
      </c>
      <c r="C216">
        <v>15</v>
      </c>
      <c r="D216" t="s">
        <v>24</v>
      </c>
      <c r="E216" t="s">
        <v>83</v>
      </c>
      <c r="G216">
        <v>0</v>
      </c>
      <c r="H216">
        <v>0</v>
      </c>
      <c r="I216">
        <v>0</v>
      </c>
      <c r="J216" t="b">
        <v>1</v>
      </c>
      <c r="K216" t="s">
        <v>1105</v>
      </c>
      <c r="L216">
        <v>33</v>
      </c>
      <c r="N216" t="s">
        <v>1107</v>
      </c>
      <c r="O216">
        <v>89.2</v>
      </c>
      <c r="P216">
        <v>5.53</v>
      </c>
      <c r="Q216" t="s">
        <v>1110</v>
      </c>
    </row>
    <row r="217" spans="1:17">
      <c r="A217" s="2">
        <v>45881</v>
      </c>
      <c r="B217">
        <v>3</v>
      </c>
      <c r="C217">
        <v>16</v>
      </c>
      <c r="D217" t="s">
        <v>1273</v>
      </c>
      <c r="E217" t="s">
        <v>84</v>
      </c>
      <c r="G217">
        <v>0</v>
      </c>
      <c r="H217">
        <v>0</v>
      </c>
      <c r="I217">
        <v>0</v>
      </c>
      <c r="J217" t="b">
        <v>1</v>
      </c>
      <c r="K217" t="s">
        <v>1105</v>
      </c>
      <c r="L217">
        <v>33</v>
      </c>
      <c r="N217" t="s">
        <v>1107</v>
      </c>
      <c r="O217">
        <v>91.9</v>
      </c>
      <c r="P217">
        <v>6.78</v>
      </c>
      <c r="Q217" t="s">
        <v>1110</v>
      </c>
    </row>
    <row r="218" spans="1:17">
      <c r="A218" s="2">
        <v>45881</v>
      </c>
      <c r="B218">
        <v>3</v>
      </c>
      <c r="C218">
        <v>17</v>
      </c>
      <c r="D218" t="s">
        <v>25</v>
      </c>
      <c r="E218" t="s">
        <v>85</v>
      </c>
      <c r="G218">
        <v>0</v>
      </c>
      <c r="H218">
        <v>0</v>
      </c>
      <c r="I218">
        <v>0</v>
      </c>
      <c r="J218" t="b">
        <v>1</v>
      </c>
      <c r="K218" t="s">
        <v>1105</v>
      </c>
      <c r="L218">
        <v>33</v>
      </c>
      <c r="N218" t="s">
        <v>1107</v>
      </c>
      <c r="O218">
        <v>89.6</v>
      </c>
      <c r="P218">
        <v>6.74</v>
      </c>
      <c r="Q218" t="s">
        <v>1111</v>
      </c>
    </row>
    <row r="219" spans="1:17">
      <c r="A219" s="2">
        <v>45881</v>
      </c>
      <c r="B219">
        <v>3</v>
      </c>
      <c r="C219">
        <v>18</v>
      </c>
      <c r="D219" t="s">
        <v>26</v>
      </c>
      <c r="E219" t="s">
        <v>86</v>
      </c>
      <c r="G219">
        <v>0</v>
      </c>
      <c r="H219">
        <v>0</v>
      </c>
      <c r="I219">
        <v>0</v>
      </c>
      <c r="J219" t="b">
        <v>1</v>
      </c>
      <c r="K219" t="s">
        <v>1105</v>
      </c>
      <c r="L219">
        <v>33</v>
      </c>
      <c r="N219" t="s">
        <v>1107</v>
      </c>
      <c r="O219">
        <v>88</v>
      </c>
      <c r="P219">
        <v>6.11</v>
      </c>
      <c r="Q219" t="s">
        <v>1110</v>
      </c>
    </row>
    <row r="220" spans="1:17">
      <c r="A220" s="2">
        <v>45881</v>
      </c>
      <c r="B220">
        <v>3</v>
      </c>
      <c r="C220">
        <v>19</v>
      </c>
      <c r="D220" t="s">
        <v>27</v>
      </c>
      <c r="E220" t="s">
        <v>87</v>
      </c>
      <c r="G220">
        <v>0</v>
      </c>
      <c r="H220">
        <v>0</v>
      </c>
      <c r="I220">
        <v>0</v>
      </c>
      <c r="J220" t="b">
        <v>1</v>
      </c>
      <c r="K220" t="s">
        <v>1105</v>
      </c>
      <c r="L220">
        <v>33</v>
      </c>
      <c r="N220" t="s">
        <v>1107</v>
      </c>
      <c r="O220">
        <v>89.3</v>
      </c>
      <c r="P220">
        <v>6.65</v>
      </c>
      <c r="Q220" t="s">
        <v>1110</v>
      </c>
    </row>
    <row r="221" spans="1:17">
      <c r="A221" s="2">
        <v>45881</v>
      </c>
      <c r="B221">
        <v>3</v>
      </c>
      <c r="C221">
        <v>20</v>
      </c>
      <c r="D221" t="s">
        <v>28</v>
      </c>
      <c r="E221" t="s">
        <v>88</v>
      </c>
      <c r="G221">
        <v>0</v>
      </c>
      <c r="H221">
        <v>0</v>
      </c>
      <c r="I221">
        <v>0</v>
      </c>
      <c r="J221" t="b">
        <v>1</v>
      </c>
      <c r="K221" t="s">
        <v>1105</v>
      </c>
      <c r="L221">
        <v>33</v>
      </c>
      <c r="N221" t="s">
        <v>1107</v>
      </c>
      <c r="O221">
        <v>91.9</v>
      </c>
      <c r="P221">
        <v>5.82</v>
      </c>
      <c r="Q221" t="s">
        <v>1110</v>
      </c>
    </row>
    <row r="222" spans="1:17">
      <c r="A222" s="2">
        <v>45881</v>
      </c>
      <c r="B222">
        <v>4</v>
      </c>
      <c r="C222">
        <v>1</v>
      </c>
      <c r="D222" t="s">
        <v>17</v>
      </c>
      <c r="E222" t="s">
        <v>89</v>
      </c>
      <c r="F222" t="s">
        <v>377</v>
      </c>
      <c r="G222">
        <v>0</v>
      </c>
      <c r="H222">
        <v>0</v>
      </c>
      <c r="I222">
        <v>0</v>
      </c>
      <c r="J222" t="b">
        <v>0</v>
      </c>
      <c r="L222">
        <v>34</v>
      </c>
      <c r="N222" t="s">
        <v>1107</v>
      </c>
      <c r="O222">
        <v>77.400000000000006</v>
      </c>
      <c r="P222">
        <v>6.84</v>
      </c>
      <c r="Q222" t="s">
        <v>1110</v>
      </c>
    </row>
    <row r="223" spans="1:17">
      <c r="A223" s="2">
        <v>45881</v>
      </c>
      <c r="B223">
        <v>4</v>
      </c>
      <c r="C223">
        <v>2</v>
      </c>
      <c r="D223" t="s">
        <v>1269</v>
      </c>
      <c r="E223" t="s">
        <v>90</v>
      </c>
      <c r="F223" t="s">
        <v>378</v>
      </c>
      <c r="G223">
        <v>7</v>
      </c>
      <c r="H223">
        <v>0</v>
      </c>
      <c r="I223">
        <v>7</v>
      </c>
      <c r="J223" t="b">
        <v>0</v>
      </c>
      <c r="L223">
        <v>34</v>
      </c>
      <c r="N223" t="s">
        <v>1107</v>
      </c>
      <c r="O223">
        <v>75.7</v>
      </c>
      <c r="P223">
        <v>7.96</v>
      </c>
      <c r="Q223" t="s">
        <v>1110</v>
      </c>
    </row>
    <row r="224" spans="1:17">
      <c r="A224" s="2">
        <v>45881</v>
      </c>
      <c r="B224">
        <v>4</v>
      </c>
      <c r="C224">
        <v>3</v>
      </c>
      <c r="D224" t="s">
        <v>18</v>
      </c>
      <c r="E224" t="s">
        <v>91</v>
      </c>
      <c r="F224" t="s">
        <v>379</v>
      </c>
      <c r="G224">
        <v>8</v>
      </c>
      <c r="H224">
        <v>4</v>
      </c>
      <c r="I224">
        <v>11</v>
      </c>
      <c r="J224" t="b">
        <v>0</v>
      </c>
      <c r="L224">
        <v>34</v>
      </c>
      <c r="M224">
        <v>8.6</v>
      </c>
      <c r="N224" t="s">
        <v>1107</v>
      </c>
      <c r="O224">
        <v>83.3</v>
      </c>
      <c r="P224">
        <v>7.96</v>
      </c>
      <c r="Q224" t="s">
        <v>1110</v>
      </c>
    </row>
    <row r="225" spans="1:17">
      <c r="A225" s="2">
        <v>45881</v>
      </c>
      <c r="B225">
        <v>4</v>
      </c>
      <c r="C225">
        <v>4</v>
      </c>
      <c r="D225" t="s">
        <v>19</v>
      </c>
      <c r="E225" t="s">
        <v>92</v>
      </c>
      <c r="F225" t="s">
        <v>380</v>
      </c>
      <c r="G225">
        <v>9</v>
      </c>
      <c r="H225">
        <v>3</v>
      </c>
      <c r="I225">
        <v>17</v>
      </c>
      <c r="J225" t="b">
        <v>0</v>
      </c>
      <c r="L225">
        <v>34</v>
      </c>
      <c r="M225">
        <v>8.1</v>
      </c>
      <c r="N225" t="s">
        <v>1107</v>
      </c>
      <c r="O225">
        <v>67.900000000000006</v>
      </c>
      <c r="P225">
        <v>6.58</v>
      </c>
      <c r="Q225" t="s">
        <v>1112</v>
      </c>
    </row>
    <row r="226" spans="1:17">
      <c r="A226" s="2">
        <v>45881</v>
      </c>
      <c r="B226">
        <v>4</v>
      </c>
      <c r="C226">
        <v>5</v>
      </c>
      <c r="D226" t="s">
        <v>1115</v>
      </c>
      <c r="E226" t="s">
        <v>93</v>
      </c>
      <c r="F226" t="s">
        <v>381</v>
      </c>
      <c r="G226">
        <v>1</v>
      </c>
      <c r="H226">
        <v>0</v>
      </c>
      <c r="I226">
        <v>18</v>
      </c>
      <c r="J226" t="b">
        <v>0</v>
      </c>
      <c r="L226">
        <v>34</v>
      </c>
      <c r="N226" t="s">
        <v>1107</v>
      </c>
      <c r="O226">
        <v>63.2</v>
      </c>
      <c r="P226">
        <v>6.69</v>
      </c>
      <c r="Q226" t="s">
        <v>1110</v>
      </c>
    </row>
    <row r="227" spans="1:17">
      <c r="A227" s="2">
        <v>45881</v>
      </c>
      <c r="B227">
        <v>4</v>
      </c>
      <c r="C227">
        <v>6</v>
      </c>
      <c r="D227" t="s">
        <v>1270</v>
      </c>
      <c r="E227" t="s">
        <v>94</v>
      </c>
      <c r="F227" t="s">
        <v>382</v>
      </c>
      <c r="G227">
        <v>7</v>
      </c>
      <c r="H227">
        <v>1</v>
      </c>
      <c r="I227">
        <v>24</v>
      </c>
      <c r="J227" t="b">
        <v>0</v>
      </c>
      <c r="L227">
        <v>34</v>
      </c>
      <c r="M227">
        <v>9.5</v>
      </c>
      <c r="N227" t="s">
        <v>1107</v>
      </c>
      <c r="O227">
        <v>72.3</v>
      </c>
      <c r="P227">
        <v>5.54</v>
      </c>
      <c r="Q227" t="s">
        <v>1110</v>
      </c>
    </row>
    <row r="228" spans="1:17">
      <c r="A228" s="2">
        <v>45881</v>
      </c>
      <c r="B228">
        <v>4</v>
      </c>
      <c r="C228">
        <v>7</v>
      </c>
      <c r="D228" t="s">
        <v>1114</v>
      </c>
      <c r="E228" t="s">
        <v>95</v>
      </c>
      <c r="F228" t="s">
        <v>383</v>
      </c>
      <c r="G228">
        <v>6</v>
      </c>
      <c r="H228">
        <v>2</v>
      </c>
      <c r="I228">
        <v>28</v>
      </c>
      <c r="J228" t="b">
        <v>0</v>
      </c>
      <c r="L228">
        <v>34</v>
      </c>
      <c r="M228">
        <v>8.5</v>
      </c>
      <c r="N228" t="s">
        <v>1107</v>
      </c>
      <c r="O228">
        <v>84.5</v>
      </c>
      <c r="P228">
        <v>5</v>
      </c>
      <c r="Q228" t="s">
        <v>1110</v>
      </c>
    </row>
    <row r="229" spans="1:17">
      <c r="A229" s="2">
        <v>45881</v>
      </c>
      <c r="B229">
        <v>4</v>
      </c>
      <c r="C229">
        <v>8</v>
      </c>
      <c r="D229" t="s">
        <v>1271</v>
      </c>
      <c r="E229" t="s">
        <v>96</v>
      </c>
      <c r="F229" t="s">
        <v>384</v>
      </c>
      <c r="G229">
        <v>5</v>
      </c>
      <c r="H229">
        <v>3</v>
      </c>
      <c r="I229">
        <v>30</v>
      </c>
      <c r="J229" t="b">
        <v>0</v>
      </c>
      <c r="L229">
        <v>34</v>
      </c>
      <c r="M229">
        <v>9.1999999999999993</v>
      </c>
      <c r="N229" t="s">
        <v>1107</v>
      </c>
      <c r="O229">
        <v>62.9</v>
      </c>
      <c r="P229">
        <v>7.54</v>
      </c>
      <c r="Q229" t="s">
        <v>1110</v>
      </c>
    </row>
    <row r="230" spans="1:17">
      <c r="A230" s="2">
        <v>45881</v>
      </c>
      <c r="B230">
        <v>4</v>
      </c>
      <c r="C230">
        <v>9</v>
      </c>
      <c r="D230" t="s">
        <v>20</v>
      </c>
      <c r="E230" t="s">
        <v>97</v>
      </c>
      <c r="F230" t="s">
        <v>385</v>
      </c>
      <c r="G230">
        <v>4</v>
      </c>
      <c r="H230">
        <v>3</v>
      </c>
      <c r="I230">
        <v>31</v>
      </c>
      <c r="J230" t="b">
        <v>0</v>
      </c>
      <c r="L230">
        <v>34</v>
      </c>
      <c r="M230">
        <v>8.8000000000000007</v>
      </c>
      <c r="N230" t="s">
        <v>1106</v>
      </c>
      <c r="O230">
        <v>70.400000000000006</v>
      </c>
      <c r="P230">
        <v>6</v>
      </c>
      <c r="Q230" t="s">
        <v>1110</v>
      </c>
    </row>
    <row r="231" spans="1:17">
      <c r="A231" s="2">
        <v>45881</v>
      </c>
      <c r="B231">
        <v>4</v>
      </c>
      <c r="C231">
        <v>10</v>
      </c>
      <c r="D231" t="s">
        <v>1113</v>
      </c>
      <c r="E231" t="s">
        <v>98</v>
      </c>
      <c r="F231" t="s">
        <v>386</v>
      </c>
      <c r="G231">
        <v>4</v>
      </c>
      <c r="H231">
        <v>3</v>
      </c>
      <c r="I231">
        <v>32</v>
      </c>
      <c r="J231" t="b">
        <v>0</v>
      </c>
      <c r="L231">
        <v>34</v>
      </c>
      <c r="M231">
        <v>8.5</v>
      </c>
      <c r="N231" t="s">
        <v>1107</v>
      </c>
      <c r="O231">
        <v>60.3</v>
      </c>
      <c r="P231">
        <v>5.6</v>
      </c>
      <c r="Q231" t="s">
        <v>1110</v>
      </c>
    </row>
    <row r="232" spans="1:17">
      <c r="A232" s="2">
        <v>45881</v>
      </c>
      <c r="B232">
        <v>4</v>
      </c>
      <c r="C232">
        <v>11</v>
      </c>
      <c r="D232" t="s">
        <v>1272</v>
      </c>
      <c r="E232" t="s">
        <v>99</v>
      </c>
      <c r="F232" t="s">
        <v>387</v>
      </c>
      <c r="G232">
        <v>0</v>
      </c>
      <c r="H232">
        <v>3</v>
      </c>
      <c r="I232">
        <v>29</v>
      </c>
      <c r="J232" t="b">
        <v>0</v>
      </c>
      <c r="L232">
        <v>34</v>
      </c>
      <c r="M232">
        <v>10</v>
      </c>
      <c r="N232" t="s">
        <v>1107</v>
      </c>
      <c r="O232">
        <v>67.7</v>
      </c>
      <c r="P232">
        <v>6.52</v>
      </c>
      <c r="Q232" t="s">
        <v>1110</v>
      </c>
    </row>
    <row r="233" spans="1:17">
      <c r="A233" s="2">
        <v>45881</v>
      </c>
      <c r="B233">
        <v>4</v>
      </c>
      <c r="C233">
        <v>12</v>
      </c>
      <c r="D233" t="s">
        <v>21</v>
      </c>
      <c r="E233" t="s">
        <v>100</v>
      </c>
      <c r="F233" t="s">
        <v>388</v>
      </c>
      <c r="G233">
        <v>2</v>
      </c>
      <c r="H233">
        <v>0</v>
      </c>
      <c r="I233">
        <v>31</v>
      </c>
      <c r="J233" t="b">
        <v>0</v>
      </c>
      <c r="L233">
        <v>34</v>
      </c>
      <c r="N233" t="s">
        <v>1107</v>
      </c>
      <c r="O233">
        <v>77.099999999999994</v>
      </c>
      <c r="P233">
        <v>6.02</v>
      </c>
      <c r="Q233" t="s">
        <v>1110</v>
      </c>
    </row>
    <row r="234" spans="1:17">
      <c r="A234" s="2">
        <v>45881</v>
      </c>
      <c r="B234">
        <v>4</v>
      </c>
      <c r="C234">
        <v>13</v>
      </c>
      <c r="D234" t="s">
        <v>22</v>
      </c>
      <c r="E234" t="s">
        <v>101</v>
      </c>
      <c r="F234" t="s">
        <v>389</v>
      </c>
      <c r="G234">
        <v>5</v>
      </c>
      <c r="H234">
        <v>0</v>
      </c>
      <c r="I234">
        <v>36</v>
      </c>
      <c r="J234" t="b">
        <v>0</v>
      </c>
      <c r="L234">
        <v>34</v>
      </c>
      <c r="N234" t="s">
        <v>1107</v>
      </c>
      <c r="O234">
        <v>60.7</v>
      </c>
      <c r="P234">
        <v>5.53</v>
      </c>
      <c r="Q234" t="s">
        <v>1110</v>
      </c>
    </row>
    <row r="235" spans="1:17">
      <c r="A235" s="2">
        <v>45881</v>
      </c>
      <c r="B235">
        <v>4</v>
      </c>
      <c r="C235">
        <v>14</v>
      </c>
      <c r="D235" t="s">
        <v>23</v>
      </c>
      <c r="E235" t="s">
        <v>102</v>
      </c>
      <c r="F235" t="s">
        <v>390</v>
      </c>
      <c r="G235">
        <v>1</v>
      </c>
      <c r="H235">
        <v>0</v>
      </c>
      <c r="I235">
        <v>37</v>
      </c>
      <c r="J235" t="b">
        <v>0</v>
      </c>
      <c r="L235">
        <v>34</v>
      </c>
      <c r="N235" t="s">
        <v>1107</v>
      </c>
      <c r="O235">
        <v>76.8</v>
      </c>
      <c r="P235">
        <v>7.75</v>
      </c>
      <c r="Q235" t="s">
        <v>1110</v>
      </c>
    </row>
    <row r="236" spans="1:17">
      <c r="A236" s="2">
        <v>45881</v>
      </c>
      <c r="B236">
        <v>4</v>
      </c>
      <c r="C236">
        <v>15</v>
      </c>
      <c r="D236" t="s">
        <v>24</v>
      </c>
      <c r="E236" t="s">
        <v>103</v>
      </c>
      <c r="F236" t="s">
        <v>391</v>
      </c>
      <c r="G236">
        <v>4</v>
      </c>
      <c r="H236">
        <v>0</v>
      </c>
      <c r="I236">
        <v>41</v>
      </c>
      <c r="J236" t="b">
        <v>0</v>
      </c>
      <c r="L236">
        <v>34</v>
      </c>
      <c r="N236" t="s">
        <v>1107</v>
      </c>
      <c r="O236">
        <v>72</v>
      </c>
      <c r="P236">
        <v>6.88</v>
      </c>
      <c r="Q236" t="s">
        <v>1111</v>
      </c>
    </row>
    <row r="237" spans="1:17">
      <c r="A237" s="2">
        <v>45881</v>
      </c>
      <c r="B237">
        <v>4</v>
      </c>
      <c r="C237">
        <v>16</v>
      </c>
      <c r="D237" t="s">
        <v>1273</v>
      </c>
      <c r="E237" t="s">
        <v>104</v>
      </c>
      <c r="F237" t="s">
        <v>392</v>
      </c>
      <c r="G237">
        <v>3</v>
      </c>
      <c r="H237">
        <v>1</v>
      </c>
      <c r="I237">
        <v>43</v>
      </c>
      <c r="J237" t="b">
        <v>0</v>
      </c>
      <c r="L237">
        <v>34</v>
      </c>
      <c r="M237">
        <v>9.5</v>
      </c>
      <c r="N237" t="s">
        <v>1107</v>
      </c>
      <c r="O237">
        <v>68.400000000000006</v>
      </c>
      <c r="P237">
        <v>7.35</v>
      </c>
      <c r="Q237" t="s">
        <v>1110</v>
      </c>
    </row>
    <row r="238" spans="1:17">
      <c r="A238" s="2">
        <v>45881</v>
      </c>
      <c r="B238">
        <v>4</v>
      </c>
      <c r="C238">
        <v>17</v>
      </c>
      <c r="D238" t="s">
        <v>25</v>
      </c>
      <c r="E238" t="s">
        <v>105</v>
      </c>
      <c r="F238" t="s">
        <v>393</v>
      </c>
      <c r="G238">
        <v>1</v>
      </c>
      <c r="H238">
        <v>4</v>
      </c>
      <c r="I238">
        <v>40</v>
      </c>
      <c r="J238" t="b">
        <v>0</v>
      </c>
      <c r="K238" t="s">
        <v>1104</v>
      </c>
      <c r="L238">
        <v>34</v>
      </c>
      <c r="M238">
        <v>5.2</v>
      </c>
      <c r="N238" t="s">
        <v>1107</v>
      </c>
      <c r="O238">
        <v>80.900000000000006</v>
      </c>
      <c r="P238">
        <v>5.9</v>
      </c>
      <c r="Q238" t="s">
        <v>1110</v>
      </c>
    </row>
    <row r="239" spans="1:17">
      <c r="A239" s="2">
        <v>45881</v>
      </c>
      <c r="B239">
        <v>4</v>
      </c>
      <c r="C239">
        <v>18</v>
      </c>
      <c r="D239" t="s">
        <v>26</v>
      </c>
      <c r="E239" t="s">
        <v>106</v>
      </c>
      <c r="F239" t="s">
        <v>394</v>
      </c>
      <c r="G239">
        <v>2</v>
      </c>
      <c r="H239">
        <v>2</v>
      </c>
      <c r="I239">
        <v>40</v>
      </c>
      <c r="J239" t="b">
        <v>0</v>
      </c>
      <c r="K239" t="s">
        <v>1104</v>
      </c>
      <c r="L239">
        <v>34</v>
      </c>
      <c r="M239">
        <v>5.0999999999999996</v>
      </c>
      <c r="N239" t="s">
        <v>1107</v>
      </c>
      <c r="O239">
        <v>73.400000000000006</v>
      </c>
      <c r="P239">
        <v>5.62</v>
      </c>
      <c r="Q239" t="s">
        <v>1110</v>
      </c>
    </row>
    <row r="240" spans="1:17">
      <c r="A240" s="2">
        <v>45881</v>
      </c>
      <c r="B240">
        <v>4</v>
      </c>
      <c r="C240">
        <v>19</v>
      </c>
      <c r="D240" t="s">
        <v>27</v>
      </c>
      <c r="E240" t="s">
        <v>107</v>
      </c>
      <c r="F240" t="s">
        <v>395</v>
      </c>
      <c r="G240">
        <v>5</v>
      </c>
      <c r="H240">
        <v>4</v>
      </c>
      <c r="I240">
        <v>41</v>
      </c>
      <c r="J240" t="b">
        <v>0</v>
      </c>
      <c r="K240" t="s">
        <v>1104</v>
      </c>
      <c r="L240">
        <v>34</v>
      </c>
      <c r="M240">
        <v>5.2</v>
      </c>
      <c r="N240" t="s">
        <v>1107</v>
      </c>
      <c r="O240">
        <v>82.2</v>
      </c>
      <c r="P240">
        <v>6.06</v>
      </c>
      <c r="Q240" t="s">
        <v>1112</v>
      </c>
    </row>
    <row r="241" spans="1:17">
      <c r="A241" s="2">
        <v>45881</v>
      </c>
      <c r="B241">
        <v>4</v>
      </c>
      <c r="C241">
        <v>20</v>
      </c>
      <c r="D241" t="s">
        <v>28</v>
      </c>
      <c r="E241" t="s">
        <v>108</v>
      </c>
      <c r="F241" t="s">
        <v>396</v>
      </c>
      <c r="G241">
        <v>2</v>
      </c>
      <c r="H241">
        <v>1</v>
      </c>
      <c r="I241">
        <v>42</v>
      </c>
      <c r="J241" t="b">
        <v>0</v>
      </c>
      <c r="K241" t="s">
        <v>1104</v>
      </c>
      <c r="L241">
        <v>34</v>
      </c>
      <c r="M241">
        <v>5.0999999999999996</v>
      </c>
      <c r="N241" t="s">
        <v>1107</v>
      </c>
      <c r="O241">
        <v>60.8</v>
      </c>
      <c r="P241">
        <v>7.95</v>
      </c>
      <c r="Q241" t="s">
        <v>1110</v>
      </c>
    </row>
    <row r="242" spans="1:17">
      <c r="A242" s="2">
        <v>45881</v>
      </c>
      <c r="B242">
        <v>5</v>
      </c>
      <c r="C242">
        <v>1</v>
      </c>
      <c r="D242" t="s">
        <v>17</v>
      </c>
      <c r="E242" t="s">
        <v>109</v>
      </c>
      <c r="F242" t="s">
        <v>397</v>
      </c>
      <c r="G242">
        <v>0</v>
      </c>
      <c r="H242">
        <v>0</v>
      </c>
      <c r="I242">
        <v>0</v>
      </c>
      <c r="J242" t="b">
        <v>0</v>
      </c>
      <c r="L242">
        <v>35</v>
      </c>
      <c r="N242" t="s">
        <v>1107</v>
      </c>
      <c r="O242">
        <v>74.3</v>
      </c>
      <c r="P242">
        <v>6.17</v>
      </c>
      <c r="Q242" t="s">
        <v>1110</v>
      </c>
    </row>
    <row r="243" spans="1:17">
      <c r="A243" s="2">
        <v>45881</v>
      </c>
      <c r="B243">
        <v>5</v>
      </c>
      <c r="C243">
        <v>2</v>
      </c>
      <c r="D243" t="s">
        <v>1269</v>
      </c>
      <c r="E243" t="s">
        <v>110</v>
      </c>
      <c r="F243" t="s">
        <v>398</v>
      </c>
      <c r="G243">
        <v>4</v>
      </c>
      <c r="H243">
        <v>0</v>
      </c>
      <c r="I243">
        <v>4</v>
      </c>
      <c r="J243" t="b">
        <v>0</v>
      </c>
      <c r="L243">
        <v>35</v>
      </c>
      <c r="N243" t="s">
        <v>1107</v>
      </c>
      <c r="O243">
        <v>78.8</v>
      </c>
      <c r="P243">
        <v>7.12</v>
      </c>
      <c r="Q243" t="s">
        <v>1110</v>
      </c>
    </row>
    <row r="244" spans="1:17">
      <c r="A244" s="2">
        <v>45881</v>
      </c>
      <c r="B244">
        <v>5</v>
      </c>
      <c r="C244">
        <v>3</v>
      </c>
      <c r="D244" t="s">
        <v>18</v>
      </c>
      <c r="E244" t="s">
        <v>111</v>
      </c>
      <c r="F244" t="s">
        <v>399</v>
      </c>
      <c r="G244">
        <v>3</v>
      </c>
      <c r="H244">
        <v>3</v>
      </c>
      <c r="I244">
        <v>4</v>
      </c>
      <c r="J244" t="b">
        <v>0</v>
      </c>
      <c r="L244">
        <v>35</v>
      </c>
      <c r="M244">
        <v>7.4</v>
      </c>
      <c r="N244" t="s">
        <v>1107</v>
      </c>
      <c r="O244">
        <v>70.3</v>
      </c>
      <c r="P244">
        <v>6.49</v>
      </c>
      <c r="Q244" t="s">
        <v>1110</v>
      </c>
    </row>
    <row r="245" spans="1:17">
      <c r="A245" s="2">
        <v>45881</v>
      </c>
      <c r="B245">
        <v>5</v>
      </c>
      <c r="C245">
        <v>4</v>
      </c>
      <c r="D245" t="s">
        <v>19</v>
      </c>
      <c r="E245" t="s">
        <v>112</v>
      </c>
      <c r="F245" t="s">
        <v>400</v>
      </c>
      <c r="G245">
        <v>0</v>
      </c>
      <c r="H245">
        <v>1</v>
      </c>
      <c r="I245">
        <v>3</v>
      </c>
      <c r="J245" t="b">
        <v>0</v>
      </c>
      <c r="L245">
        <v>35</v>
      </c>
      <c r="M245">
        <v>6.1</v>
      </c>
      <c r="N245" t="s">
        <v>1107</v>
      </c>
      <c r="O245">
        <v>83.8</v>
      </c>
      <c r="P245">
        <v>5.65</v>
      </c>
      <c r="Q245" t="s">
        <v>1110</v>
      </c>
    </row>
    <row r="246" spans="1:17">
      <c r="A246" s="2">
        <v>45881</v>
      </c>
      <c r="B246">
        <v>5</v>
      </c>
      <c r="C246">
        <v>5</v>
      </c>
      <c r="D246" t="s">
        <v>1115</v>
      </c>
      <c r="E246" t="s">
        <v>113</v>
      </c>
      <c r="F246" t="s">
        <v>401</v>
      </c>
      <c r="G246">
        <v>0</v>
      </c>
      <c r="H246">
        <v>1</v>
      </c>
      <c r="I246">
        <v>2</v>
      </c>
      <c r="J246" t="b">
        <v>0</v>
      </c>
      <c r="L246">
        <v>35</v>
      </c>
      <c r="M246">
        <v>7.7</v>
      </c>
      <c r="N246" t="s">
        <v>1107</v>
      </c>
      <c r="O246">
        <v>79.599999999999994</v>
      </c>
      <c r="P246">
        <v>7.33</v>
      </c>
      <c r="Q246" t="s">
        <v>1111</v>
      </c>
    </row>
    <row r="247" spans="1:17">
      <c r="A247" s="2">
        <v>45881</v>
      </c>
      <c r="B247">
        <v>5</v>
      </c>
      <c r="C247">
        <v>6</v>
      </c>
      <c r="D247" t="s">
        <v>1270</v>
      </c>
      <c r="E247" t="s">
        <v>114</v>
      </c>
      <c r="F247" t="s">
        <v>402</v>
      </c>
      <c r="G247">
        <v>5</v>
      </c>
      <c r="H247">
        <v>1</v>
      </c>
      <c r="I247">
        <v>6</v>
      </c>
      <c r="J247" t="b">
        <v>0</v>
      </c>
      <c r="L247">
        <v>35</v>
      </c>
      <c r="M247">
        <v>7.1</v>
      </c>
      <c r="N247" t="s">
        <v>1107</v>
      </c>
      <c r="O247">
        <v>60.6</v>
      </c>
      <c r="P247">
        <v>6.45</v>
      </c>
      <c r="Q247" t="s">
        <v>1110</v>
      </c>
    </row>
    <row r="248" spans="1:17">
      <c r="A248" s="2">
        <v>45881</v>
      </c>
      <c r="B248">
        <v>5</v>
      </c>
      <c r="C248">
        <v>7</v>
      </c>
      <c r="D248" t="s">
        <v>1114</v>
      </c>
      <c r="E248" t="s">
        <v>115</v>
      </c>
      <c r="F248" t="s">
        <v>403</v>
      </c>
      <c r="G248">
        <v>4</v>
      </c>
      <c r="H248">
        <v>0</v>
      </c>
      <c r="I248">
        <v>10</v>
      </c>
      <c r="J248" t="b">
        <v>0</v>
      </c>
      <c r="L248">
        <v>35</v>
      </c>
      <c r="N248" t="s">
        <v>1107</v>
      </c>
      <c r="O248">
        <v>83.1</v>
      </c>
      <c r="P248">
        <v>7.2</v>
      </c>
      <c r="Q248" t="s">
        <v>1110</v>
      </c>
    </row>
    <row r="249" spans="1:17">
      <c r="A249" s="2">
        <v>45881</v>
      </c>
      <c r="B249">
        <v>5</v>
      </c>
      <c r="C249">
        <v>8</v>
      </c>
      <c r="D249" t="s">
        <v>1271</v>
      </c>
      <c r="E249" t="s">
        <v>116</v>
      </c>
      <c r="F249" t="s">
        <v>116</v>
      </c>
      <c r="G249">
        <v>4</v>
      </c>
      <c r="H249">
        <v>2</v>
      </c>
      <c r="I249">
        <v>12</v>
      </c>
      <c r="J249" t="b">
        <v>0</v>
      </c>
      <c r="L249">
        <v>35</v>
      </c>
      <c r="M249">
        <v>8.1</v>
      </c>
      <c r="N249" t="s">
        <v>1107</v>
      </c>
      <c r="O249">
        <v>63.6</v>
      </c>
      <c r="P249">
        <v>7.62</v>
      </c>
      <c r="Q249" t="s">
        <v>1111</v>
      </c>
    </row>
    <row r="250" spans="1:17">
      <c r="A250" s="2">
        <v>45881</v>
      </c>
      <c r="B250">
        <v>5</v>
      </c>
      <c r="C250">
        <v>9</v>
      </c>
      <c r="D250" t="s">
        <v>20</v>
      </c>
      <c r="E250" t="s">
        <v>117</v>
      </c>
      <c r="F250" t="s">
        <v>272</v>
      </c>
      <c r="G250">
        <v>0</v>
      </c>
      <c r="H250">
        <v>2</v>
      </c>
      <c r="I250">
        <v>10</v>
      </c>
      <c r="J250" t="b">
        <v>0</v>
      </c>
      <c r="L250">
        <v>35</v>
      </c>
      <c r="N250" t="s">
        <v>1108</v>
      </c>
      <c r="O250">
        <v>76.900000000000006</v>
      </c>
      <c r="P250">
        <v>5.4</v>
      </c>
      <c r="Q250" t="s">
        <v>1110</v>
      </c>
    </row>
    <row r="251" spans="1:17">
      <c r="A251" s="2">
        <v>45881</v>
      </c>
      <c r="B251">
        <v>5</v>
      </c>
      <c r="C251">
        <v>10</v>
      </c>
      <c r="D251" t="s">
        <v>1113</v>
      </c>
      <c r="E251" t="s">
        <v>118</v>
      </c>
      <c r="F251" t="s">
        <v>118</v>
      </c>
      <c r="G251">
        <v>0</v>
      </c>
      <c r="H251">
        <v>2</v>
      </c>
      <c r="I251">
        <v>8</v>
      </c>
      <c r="J251" t="b">
        <v>0</v>
      </c>
      <c r="L251">
        <v>35</v>
      </c>
      <c r="M251">
        <v>8.1</v>
      </c>
      <c r="N251" t="s">
        <v>1107</v>
      </c>
      <c r="O251">
        <v>77.8</v>
      </c>
      <c r="P251">
        <v>6.57</v>
      </c>
      <c r="Q251" t="s">
        <v>1110</v>
      </c>
    </row>
    <row r="252" spans="1:17">
      <c r="A252" s="2">
        <v>45881</v>
      </c>
      <c r="B252">
        <v>5</v>
      </c>
      <c r="C252">
        <v>11</v>
      </c>
      <c r="D252" t="s">
        <v>1272</v>
      </c>
      <c r="E252" t="s">
        <v>119</v>
      </c>
      <c r="F252" t="s">
        <v>404</v>
      </c>
      <c r="G252">
        <v>0</v>
      </c>
      <c r="H252">
        <v>3</v>
      </c>
      <c r="I252">
        <v>5</v>
      </c>
      <c r="J252" t="b">
        <v>0</v>
      </c>
      <c r="L252">
        <v>35</v>
      </c>
      <c r="M252">
        <v>7.8</v>
      </c>
      <c r="N252" t="s">
        <v>1108</v>
      </c>
      <c r="O252">
        <v>77.2</v>
      </c>
      <c r="P252">
        <v>6.78</v>
      </c>
      <c r="Q252" t="s">
        <v>1110</v>
      </c>
    </row>
    <row r="253" spans="1:17">
      <c r="A253" s="2">
        <v>45881</v>
      </c>
      <c r="B253">
        <v>5</v>
      </c>
      <c r="C253">
        <v>12</v>
      </c>
      <c r="D253" t="s">
        <v>21</v>
      </c>
      <c r="E253" t="s">
        <v>120</v>
      </c>
      <c r="F253" t="s">
        <v>405</v>
      </c>
      <c r="G253">
        <v>5</v>
      </c>
      <c r="H253">
        <v>2</v>
      </c>
      <c r="I253">
        <v>8</v>
      </c>
      <c r="J253" t="b">
        <v>0</v>
      </c>
      <c r="L253">
        <v>35</v>
      </c>
      <c r="M253">
        <v>8</v>
      </c>
      <c r="N253" t="s">
        <v>1107</v>
      </c>
      <c r="O253">
        <v>61.2</v>
      </c>
      <c r="P253">
        <v>6.56</v>
      </c>
      <c r="Q253" t="s">
        <v>1110</v>
      </c>
    </row>
    <row r="254" spans="1:17">
      <c r="A254" s="2">
        <v>45881</v>
      </c>
      <c r="B254">
        <v>5</v>
      </c>
      <c r="C254">
        <v>13</v>
      </c>
      <c r="D254" t="s">
        <v>22</v>
      </c>
      <c r="E254" t="s">
        <v>121</v>
      </c>
      <c r="F254" t="s">
        <v>406</v>
      </c>
      <c r="G254">
        <v>5</v>
      </c>
      <c r="H254">
        <v>3</v>
      </c>
      <c r="I254">
        <v>10</v>
      </c>
      <c r="J254" t="b">
        <v>0</v>
      </c>
      <c r="L254">
        <v>35</v>
      </c>
      <c r="M254">
        <v>7.5</v>
      </c>
      <c r="N254" t="s">
        <v>1107</v>
      </c>
      <c r="O254">
        <v>74.400000000000006</v>
      </c>
      <c r="P254">
        <v>5.94</v>
      </c>
      <c r="Q254" t="s">
        <v>1111</v>
      </c>
    </row>
    <row r="255" spans="1:17">
      <c r="A255" s="2">
        <v>45881</v>
      </c>
      <c r="B255">
        <v>5</v>
      </c>
      <c r="C255">
        <v>14</v>
      </c>
      <c r="D255" t="s">
        <v>23</v>
      </c>
      <c r="E255" t="s">
        <v>122</v>
      </c>
      <c r="F255" t="s">
        <v>407</v>
      </c>
      <c r="G255">
        <v>5</v>
      </c>
      <c r="H255">
        <v>1</v>
      </c>
      <c r="I255">
        <v>14</v>
      </c>
      <c r="J255" t="b">
        <v>0</v>
      </c>
      <c r="L255">
        <v>35</v>
      </c>
      <c r="N255" t="s">
        <v>1107</v>
      </c>
      <c r="O255">
        <v>64.8</v>
      </c>
      <c r="P255">
        <v>5.83</v>
      </c>
      <c r="Q255" t="s">
        <v>1110</v>
      </c>
    </row>
    <row r="256" spans="1:17">
      <c r="A256" s="2">
        <v>45881</v>
      </c>
      <c r="B256">
        <v>5</v>
      </c>
      <c r="C256">
        <v>15</v>
      </c>
      <c r="D256" t="s">
        <v>24</v>
      </c>
      <c r="E256" t="s">
        <v>123</v>
      </c>
      <c r="F256" t="s">
        <v>408</v>
      </c>
      <c r="G256">
        <v>2</v>
      </c>
      <c r="H256">
        <v>5</v>
      </c>
      <c r="I256">
        <v>11</v>
      </c>
      <c r="J256" t="b">
        <v>0</v>
      </c>
      <c r="L256">
        <v>35</v>
      </c>
      <c r="M256">
        <v>8.1</v>
      </c>
      <c r="N256" t="s">
        <v>1107</v>
      </c>
      <c r="O256">
        <v>62.9</v>
      </c>
      <c r="P256">
        <v>5.45</v>
      </c>
      <c r="Q256" t="s">
        <v>1110</v>
      </c>
    </row>
    <row r="257" spans="1:17">
      <c r="A257" s="2">
        <v>45881</v>
      </c>
      <c r="B257">
        <v>5</v>
      </c>
      <c r="C257">
        <v>16</v>
      </c>
      <c r="D257" t="s">
        <v>1273</v>
      </c>
      <c r="E257" t="s">
        <v>124</v>
      </c>
      <c r="F257" t="s">
        <v>409</v>
      </c>
      <c r="G257">
        <v>3</v>
      </c>
      <c r="H257">
        <v>4</v>
      </c>
      <c r="I257">
        <v>10</v>
      </c>
      <c r="J257" t="b">
        <v>0</v>
      </c>
      <c r="L257">
        <v>35</v>
      </c>
      <c r="M257">
        <v>7.8</v>
      </c>
      <c r="N257" t="s">
        <v>1107</v>
      </c>
      <c r="O257">
        <v>75.599999999999994</v>
      </c>
      <c r="P257">
        <v>6.54</v>
      </c>
      <c r="Q257" t="s">
        <v>1110</v>
      </c>
    </row>
    <row r="258" spans="1:17">
      <c r="A258" s="2">
        <v>45881</v>
      </c>
      <c r="B258">
        <v>5</v>
      </c>
      <c r="C258">
        <v>17</v>
      </c>
      <c r="D258" t="s">
        <v>25</v>
      </c>
      <c r="E258" t="s">
        <v>125</v>
      </c>
      <c r="F258" t="s">
        <v>410</v>
      </c>
      <c r="G258">
        <v>4</v>
      </c>
      <c r="H258">
        <v>5</v>
      </c>
      <c r="I258">
        <v>9</v>
      </c>
      <c r="J258" t="b">
        <v>0</v>
      </c>
      <c r="K258" t="s">
        <v>1104</v>
      </c>
      <c r="L258">
        <v>35</v>
      </c>
      <c r="M258">
        <v>4.0999999999999996</v>
      </c>
      <c r="N258" t="s">
        <v>1107</v>
      </c>
      <c r="O258">
        <v>68</v>
      </c>
      <c r="P258">
        <v>5.42</v>
      </c>
      <c r="Q258" t="s">
        <v>1110</v>
      </c>
    </row>
    <row r="259" spans="1:17">
      <c r="A259" s="2">
        <v>45881</v>
      </c>
      <c r="B259">
        <v>5</v>
      </c>
      <c r="C259">
        <v>18</v>
      </c>
      <c r="D259" t="s">
        <v>26</v>
      </c>
      <c r="E259" t="s">
        <v>126</v>
      </c>
      <c r="F259" t="s">
        <v>411</v>
      </c>
      <c r="G259">
        <v>0</v>
      </c>
      <c r="H259">
        <v>1</v>
      </c>
      <c r="I259">
        <v>8</v>
      </c>
      <c r="J259" t="b">
        <v>0</v>
      </c>
      <c r="K259" t="s">
        <v>1104</v>
      </c>
      <c r="L259">
        <v>35</v>
      </c>
      <c r="M259">
        <v>3.7</v>
      </c>
      <c r="N259" t="s">
        <v>1107</v>
      </c>
      <c r="O259">
        <v>66.099999999999994</v>
      </c>
      <c r="P259">
        <v>5.21</v>
      </c>
      <c r="Q259" t="s">
        <v>1110</v>
      </c>
    </row>
    <row r="260" spans="1:17">
      <c r="A260" s="2">
        <v>45881</v>
      </c>
      <c r="B260">
        <v>5</v>
      </c>
      <c r="C260">
        <v>19</v>
      </c>
      <c r="D260" t="s">
        <v>27</v>
      </c>
      <c r="E260" t="s">
        <v>127</v>
      </c>
      <c r="F260" t="s">
        <v>412</v>
      </c>
      <c r="G260">
        <v>1</v>
      </c>
      <c r="H260">
        <v>3</v>
      </c>
      <c r="I260">
        <v>6</v>
      </c>
      <c r="J260" t="b">
        <v>0</v>
      </c>
      <c r="K260" t="s">
        <v>1104</v>
      </c>
      <c r="L260">
        <v>35</v>
      </c>
      <c r="M260">
        <v>4.0999999999999996</v>
      </c>
      <c r="N260" t="s">
        <v>1107</v>
      </c>
      <c r="O260">
        <v>71.099999999999994</v>
      </c>
      <c r="P260">
        <v>5.39</v>
      </c>
      <c r="Q260" t="s">
        <v>1110</v>
      </c>
    </row>
    <row r="261" spans="1:17">
      <c r="A261" s="2">
        <v>45881</v>
      </c>
      <c r="B261">
        <v>5</v>
      </c>
      <c r="C261">
        <v>20</v>
      </c>
      <c r="D261" t="s">
        <v>28</v>
      </c>
      <c r="E261" t="s">
        <v>128</v>
      </c>
      <c r="F261" t="s">
        <v>413</v>
      </c>
      <c r="G261">
        <v>4</v>
      </c>
      <c r="H261">
        <v>4</v>
      </c>
      <c r="I261">
        <v>6</v>
      </c>
      <c r="J261" t="b">
        <v>0</v>
      </c>
      <c r="K261" t="s">
        <v>1104</v>
      </c>
      <c r="L261">
        <v>35</v>
      </c>
      <c r="M261">
        <v>4</v>
      </c>
      <c r="N261" t="s">
        <v>1107</v>
      </c>
      <c r="O261">
        <v>62.6</v>
      </c>
      <c r="P261">
        <v>5.16</v>
      </c>
      <c r="Q261" t="s">
        <v>1110</v>
      </c>
    </row>
    <row r="262" spans="1:17">
      <c r="A262" s="2">
        <v>45881</v>
      </c>
      <c r="B262">
        <v>6</v>
      </c>
      <c r="C262">
        <v>1</v>
      </c>
      <c r="D262" t="s">
        <v>17</v>
      </c>
      <c r="E262" t="s">
        <v>129</v>
      </c>
      <c r="F262" t="s">
        <v>414</v>
      </c>
      <c r="G262">
        <v>0</v>
      </c>
      <c r="H262">
        <v>0</v>
      </c>
      <c r="I262">
        <v>0</v>
      </c>
      <c r="J262" t="b">
        <v>0</v>
      </c>
      <c r="L262">
        <v>36</v>
      </c>
      <c r="N262" t="s">
        <v>1107</v>
      </c>
      <c r="O262">
        <v>74.900000000000006</v>
      </c>
      <c r="P262">
        <v>6.78</v>
      </c>
      <c r="Q262" t="s">
        <v>1111</v>
      </c>
    </row>
    <row r="263" spans="1:17">
      <c r="A263" s="2">
        <v>45881</v>
      </c>
      <c r="B263">
        <v>6</v>
      </c>
      <c r="C263">
        <v>2</v>
      </c>
      <c r="D263" t="s">
        <v>1269</v>
      </c>
      <c r="E263" t="s">
        <v>130</v>
      </c>
      <c r="F263" t="s">
        <v>415</v>
      </c>
      <c r="G263">
        <v>2</v>
      </c>
      <c r="H263">
        <v>0</v>
      </c>
      <c r="I263">
        <v>2</v>
      </c>
      <c r="J263" t="b">
        <v>0</v>
      </c>
      <c r="L263">
        <v>36</v>
      </c>
      <c r="N263" t="s">
        <v>1107</v>
      </c>
      <c r="O263">
        <v>75.400000000000006</v>
      </c>
      <c r="P263">
        <v>5.94</v>
      </c>
      <c r="Q263" t="s">
        <v>1111</v>
      </c>
    </row>
    <row r="264" spans="1:17">
      <c r="A264" s="2">
        <v>45881</v>
      </c>
      <c r="B264">
        <v>6</v>
      </c>
      <c r="C264">
        <v>3</v>
      </c>
      <c r="D264" t="s">
        <v>18</v>
      </c>
      <c r="E264" t="s">
        <v>131</v>
      </c>
      <c r="F264" t="s">
        <v>416</v>
      </c>
      <c r="G264">
        <v>2</v>
      </c>
      <c r="H264">
        <v>0</v>
      </c>
      <c r="I264">
        <v>4</v>
      </c>
      <c r="J264" t="b">
        <v>0</v>
      </c>
      <c r="L264">
        <v>36</v>
      </c>
      <c r="N264" t="s">
        <v>1107</v>
      </c>
      <c r="O264">
        <v>76.8</v>
      </c>
      <c r="P264">
        <v>6.6</v>
      </c>
      <c r="Q264" t="s">
        <v>1112</v>
      </c>
    </row>
    <row r="265" spans="1:17">
      <c r="A265" s="2">
        <v>45881</v>
      </c>
      <c r="B265">
        <v>6</v>
      </c>
      <c r="C265">
        <v>4</v>
      </c>
      <c r="D265" t="s">
        <v>19</v>
      </c>
      <c r="E265" t="s">
        <v>132</v>
      </c>
      <c r="F265" t="s">
        <v>417</v>
      </c>
      <c r="G265">
        <v>2</v>
      </c>
      <c r="H265">
        <v>2</v>
      </c>
      <c r="I265">
        <v>4</v>
      </c>
      <c r="J265" t="b">
        <v>0</v>
      </c>
      <c r="L265">
        <v>36</v>
      </c>
      <c r="N265" t="s">
        <v>1107</v>
      </c>
      <c r="O265">
        <v>71.599999999999994</v>
      </c>
      <c r="P265">
        <v>5.4</v>
      </c>
      <c r="Q265" t="s">
        <v>1111</v>
      </c>
    </row>
    <row r="266" spans="1:17">
      <c r="A266" s="2">
        <v>45881</v>
      </c>
      <c r="B266">
        <v>6</v>
      </c>
      <c r="C266">
        <v>5</v>
      </c>
      <c r="D266" t="s">
        <v>1115</v>
      </c>
      <c r="E266" t="s">
        <v>133</v>
      </c>
      <c r="F266" t="s">
        <v>418</v>
      </c>
      <c r="G266">
        <v>4</v>
      </c>
      <c r="H266">
        <v>2</v>
      </c>
      <c r="I266">
        <v>6</v>
      </c>
      <c r="J266" t="b">
        <v>0</v>
      </c>
      <c r="L266">
        <v>36</v>
      </c>
      <c r="M266" t="s">
        <v>1217</v>
      </c>
      <c r="N266" t="s">
        <v>1108</v>
      </c>
      <c r="O266">
        <v>71.7</v>
      </c>
      <c r="P266">
        <v>6.37</v>
      </c>
      <c r="Q266" t="s">
        <v>1110</v>
      </c>
    </row>
    <row r="267" spans="1:17">
      <c r="A267" s="2">
        <v>45881</v>
      </c>
      <c r="B267">
        <v>6</v>
      </c>
      <c r="C267">
        <v>6</v>
      </c>
      <c r="D267" t="s">
        <v>1270</v>
      </c>
      <c r="E267" t="s">
        <v>134</v>
      </c>
      <c r="F267" t="s">
        <v>419</v>
      </c>
      <c r="G267">
        <v>0</v>
      </c>
      <c r="H267">
        <v>1</v>
      </c>
      <c r="I267">
        <v>5</v>
      </c>
      <c r="J267" t="b">
        <v>0</v>
      </c>
      <c r="L267">
        <v>36</v>
      </c>
      <c r="M267" t="s">
        <v>1219</v>
      </c>
      <c r="N267" t="s">
        <v>1107</v>
      </c>
      <c r="O267">
        <v>71.599999999999994</v>
      </c>
      <c r="P267">
        <v>5.7</v>
      </c>
      <c r="Q267" t="s">
        <v>1110</v>
      </c>
    </row>
    <row r="268" spans="1:17">
      <c r="A268" s="2">
        <v>45881</v>
      </c>
      <c r="B268">
        <v>6</v>
      </c>
      <c r="C268">
        <v>7</v>
      </c>
      <c r="D268" t="s">
        <v>1114</v>
      </c>
      <c r="E268" t="s">
        <v>135</v>
      </c>
      <c r="F268" t="s">
        <v>420</v>
      </c>
      <c r="G268">
        <v>3</v>
      </c>
      <c r="H268">
        <v>3</v>
      </c>
      <c r="I268">
        <v>5</v>
      </c>
      <c r="J268" t="b">
        <v>0</v>
      </c>
      <c r="L268">
        <v>36</v>
      </c>
      <c r="M268" t="s">
        <v>1205</v>
      </c>
      <c r="N268" t="s">
        <v>1107</v>
      </c>
      <c r="O268">
        <v>75.400000000000006</v>
      </c>
      <c r="P268">
        <v>7.74</v>
      </c>
      <c r="Q268" t="s">
        <v>1110</v>
      </c>
    </row>
    <row r="269" spans="1:17">
      <c r="A269" s="2">
        <v>45881</v>
      </c>
      <c r="B269">
        <v>6</v>
      </c>
      <c r="C269">
        <v>8</v>
      </c>
      <c r="D269" t="s">
        <v>1271</v>
      </c>
      <c r="E269" t="s">
        <v>136</v>
      </c>
      <c r="F269" t="s">
        <v>421</v>
      </c>
      <c r="G269">
        <v>5</v>
      </c>
      <c r="H269">
        <v>1</v>
      </c>
      <c r="I269">
        <v>9</v>
      </c>
      <c r="J269" t="b">
        <v>0</v>
      </c>
      <c r="L269">
        <v>36</v>
      </c>
      <c r="N269" t="s">
        <v>1107</v>
      </c>
      <c r="O269">
        <v>76.599999999999994</v>
      </c>
      <c r="P269">
        <v>7.37</v>
      </c>
      <c r="Q269" t="s">
        <v>1111</v>
      </c>
    </row>
    <row r="270" spans="1:17">
      <c r="A270" s="2">
        <v>45881</v>
      </c>
      <c r="B270">
        <v>6</v>
      </c>
      <c r="C270">
        <v>9</v>
      </c>
      <c r="D270" t="s">
        <v>20</v>
      </c>
      <c r="E270" t="s">
        <v>137</v>
      </c>
      <c r="F270" t="s">
        <v>422</v>
      </c>
      <c r="G270">
        <v>3</v>
      </c>
      <c r="H270">
        <v>5</v>
      </c>
      <c r="I270">
        <v>7</v>
      </c>
      <c r="J270" t="b">
        <v>0</v>
      </c>
      <c r="L270">
        <v>36</v>
      </c>
      <c r="M270">
        <v>10</v>
      </c>
      <c r="N270" t="s">
        <v>1107</v>
      </c>
      <c r="O270">
        <v>60.8</v>
      </c>
      <c r="P270">
        <v>6.43</v>
      </c>
      <c r="Q270" t="s">
        <v>1110</v>
      </c>
    </row>
    <row r="271" spans="1:17">
      <c r="A271" s="2">
        <v>45881</v>
      </c>
      <c r="B271">
        <v>6</v>
      </c>
      <c r="C271">
        <v>10</v>
      </c>
      <c r="D271" t="s">
        <v>1113</v>
      </c>
      <c r="E271" t="s">
        <v>138</v>
      </c>
      <c r="F271" t="s">
        <v>423</v>
      </c>
      <c r="G271">
        <v>0</v>
      </c>
      <c r="H271">
        <v>0</v>
      </c>
      <c r="I271">
        <v>7</v>
      </c>
      <c r="J271" t="b">
        <v>0</v>
      </c>
      <c r="L271">
        <v>36</v>
      </c>
      <c r="N271" t="s">
        <v>1107</v>
      </c>
      <c r="O271">
        <v>64.3</v>
      </c>
      <c r="P271">
        <v>7.3</v>
      </c>
      <c r="Q271" t="s">
        <v>1110</v>
      </c>
    </row>
    <row r="272" spans="1:17">
      <c r="A272" s="2">
        <v>45881</v>
      </c>
      <c r="B272">
        <v>6</v>
      </c>
      <c r="C272">
        <v>11</v>
      </c>
      <c r="D272" t="s">
        <v>1272</v>
      </c>
      <c r="E272" t="s">
        <v>139</v>
      </c>
      <c r="F272" t="s">
        <v>424</v>
      </c>
      <c r="G272">
        <v>5</v>
      </c>
      <c r="H272">
        <v>3</v>
      </c>
      <c r="I272">
        <v>9</v>
      </c>
      <c r="J272" t="b">
        <v>0</v>
      </c>
      <c r="L272">
        <v>36</v>
      </c>
      <c r="M272" t="s">
        <v>1202</v>
      </c>
      <c r="N272" t="s">
        <v>1107</v>
      </c>
      <c r="O272">
        <v>62.6</v>
      </c>
      <c r="P272">
        <v>7.45</v>
      </c>
      <c r="Q272" t="s">
        <v>1110</v>
      </c>
    </row>
    <row r="273" spans="1:17">
      <c r="A273" s="2">
        <v>45881</v>
      </c>
      <c r="B273">
        <v>6</v>
      </c>
      <c r="C273">
        <v>12</v>
      </c>
      <c r="D273" t="s">
        <v>21</v>
      </c>
      <c r="E273" t="s">
        <v>140</v>
      </c>
      <c r="F273" t="s">
        <v>425</v>
      </c>
      <c r="G273">
        <v>4</v>
      </c>
      <c r="H273">
        <v>5</v>
      </c>
      <c r="I273">
        <v>8</v>
      </c>
      <c r="J273" t="b">
        <v>0</v>
      </c>
      <c r="L273">
        <v>36</v>
      </c>
      <c r="N273" t="s">
        <v>1107</v>
      </c>
      <c r="O273">
        <v>76.2</v>
      </c>
      <c r="P273">
        <v>7.38</v>
      </c>
      <c r="Q273" t="s">
        <v>1110</v>
      </c>
    </row>
    <row r="274" spans="1:17">
      <c r="A274" s="2">
        <v>45881</v>
      </c>
      <c r="B274">
        <v>6</v>
      </c>
      <c r="C274">
        <v>13</v>
      </c>
      <c r="D274" t="s">
        <v>22</v>
      </c>
      <c r="E274" t="s">
        <v>141</v>
      </c>
      <c r="F274" t="s">
        <v>426</v>
      </c>
      <c r="G274">
        <v>4</v>
      </c>
      <c r="H274">
        <v>4</v>
      </c>
      <c r="I274">
        <v>8</v>
      </c>
      <c r="J274" t="b">
        <v>0</v>
      </c>
      <c r="L274">
        <v>36</v>
      </c>
      <c r="M274" t="s">
        <v>1202</v>
      </c>
      <c r="N274" t="s">
        <v>1107</v>
      </c>
      <c r="O274">
        <v>70.3</v>
      </c>
      <c r="P274">
        <v>6.86</v>
      </c>
      <c r="Q274" t="s">
        <v>1110</v>
      </c>
    </row>
    <row r="275" spans="1:17">
      <c r="A275" s="2">
        <v>45881</v>
      </c>
      <c r="B275">
        <v>6</v>
      </c>
      <c r="C275">
        <v>14</v>
      </c>
      <c r="D275" t="s">
        <v>23</v>
      </c>
      <c r="E275" t="s">
        <v>142</v>
      </c>
      <c r="F275" t="s">
        <v>427</v>
      </c>
      <c r="G275">
        <v>4</v>
      </c>
      <c r="H275">
        <v>5</v>
      </c>
      <c r="I275">
        <v>7</v>
      </c>
      <c r="J275" t="b">
        <v>0</v>
      </c>
      <c r="L275">
        <v>36</v>
      </c>
      <c r="M275" t="s">
        <v>1203</v>
      </c>
      <c r="N275" t="s">
        <v>1109</v>
      </c>
      <c r="O275">
        <v>69.599999999999994</v>
      </c>
      <c r="P275">
        <v>6.02</v>
      </c>
      <c r="Q275" t="s">
        <v>1111</v>
      </c>
    </row>
    <row r="276" spans="1:17">
      <c r="A276" s="2">
        <v>45881</v>
      </c>
      <c r="B276">
        <v>6</v>
      </c>
      <c r="C276">
        <v>15</v>
      </c>
      <c r="D276" t="s">
        <v>24</v>
      </c>
      <c r="E276" t="s">
        <v>143</v>
      </c>
      <c r="F276" t="s">
        <v>428</v>
      </c>
      <c r="G276">
        <v>3</v>
      </c>
      <c r="H276">
        <v>5</v>
      </c>
      <c r="I276">
        <v>5</v>
      </c>
      <c r="J276" t="b">
        <v>0</v>
      </c>
      <c r="L276">
        <v>36</v>
      </c>
      <c r="M276" t="s">
        <v>1204</v>
      </c>
      <c r="N276" t="s">
        <v>1107</v>
      </c>
      <c r="O276">
        <v>79.599999999999994</v>
      </c>
      <c r="P276">
        <v>6.31</v>
      </c>
      <c r="Q276" t="s">
        <v>1110</v>
      </c>
    </row>
    <row r="277" spans="1:17">
      <c r="A277" s="2">
        <v>45881</v>
      </c>
      <c r="B277">
        <v>6</v>
      </c>
      <c r="C277">
        <v>16</v>
      </c>
      <c r="D277" t="s">
        <v>1273</v>
      </c>
      <c r="E277" t="s">
        <v>144</v>
      </c>
      <c r="F277" t="s">
        <v>429</v>
      </c>
      <c r="G277">
        <v>1</v>
      </c>
      <c r="H277">
        <v>2</v>
      </c>
      <c r="I277">
        <v>4</v>
      </c>
      <c r="J277" t="b">
        <v>0</v>
      </c>
      <c r="L277">
        <v>36</v>
      </c>
      <c r="M277">
        <v>9</v>
      </c>
      <c r="N277" t="s">
        <v>1107</v>
      </c>
      <c r="O277">
        <v>65.900000000000006</v>
      </c>
      <c r="P277">
        <v>6.99</v>
      </c>
      <c r="Q277" t="s">
        <v>1110</v>
      </c>
    </row>
    <row r="278" spans="1:17">
      <c r="A278" s="2">
        <v>45881</v>
      </c>
      <c r="B278">
        <v>6</v>
      </c>
      <c r="C278">
        <v>17</v>
      </c>
      <c r="D278" t="s">
        <v>25</v>
      </c>
      <c r="E278" t="s">
        <v>145</v>
      </c>
      <c r="F278" t="s">
        <v>430</v>
      </c>
      <c r="G278">
        <v>2</v>
      </c>
      <c r="H278">
        <v>1</v>
      </c>
      <c r="I278">
        <v>5</v>
      </c>
      <c r="J278" t="b">
        <v>0</v>
      </c>
      <c r="K278" t="s">
        <v>1104</v>
      </c>
      <c r="L278">
        <v>36</v>
      </c>
      <c r="M278">
        <v>5</v>
      </c>
      <c r="N278" t="s">
        <v>1108</v>
      </c>
      <c r="O278">
        <v>74.400000000000006</v>
      </c>
      <c r="P278">
        <v>6.46</v>
      </c>
      <c r="Q278" t="s">
        <v>1110</v>
      </c>
    </row>
    <row r="279" spans="1:17">
      <c r="A279" s="2">
        <v>45881</v>
      </c>
      <c r="B279">
        <v>6</v>
      </c>
      <c r="C279">
        <v>18</v>
      </c>
      <c r="D279" t="s">
        <v>26</v>
      </c>
      <c r="E279" t="s">
        <v>146</v>
      </c>
      <c r="F279" t="s">
        <v>431</v>
      </c>
      <c r="G279">
        <v>5</v>
      </c>
      <c r="H279">
        <v>4</v>
      </c>
      <c r="I279">
        <v>6</v>
      </c>
      <c r="J279" t="b">
        <v>0</v>
      </c>
      <c r="K279" t="s">
        <v>1104</v>
      </c>
      <c r="L279">
        <v>36</v>
      </c>
      <c r="M279" t="s">
        <v>1220</v>
      </c>
      <c r="N279" t="s">
        <v>1107</v>
      </c>
      <c r="O279">
        <v>73.900000000000006</v>
      </c>
      <c r="P279">
        <v>7.47</v>
      </c>
      <c r="Q279" t="s">
        <v>1110</v>
      </c>
    </row>
    <row r="280" spans="1:17">
      <c r="A280" s="2">
        <v>45881</v>
      </c>
      <c r="B280">
        <v>6</v>
      </c>
      <c r="C280">
        <v>19</v>
      </c>
      <c r="D280" t="s">
        <v>27</v>
      </c>
      <c r="E280" t="s">
        <v>147</v>
      </c>
      <c r="F280" t="s">
        <v>432</v>
      </c>
      <c r="G280">
        <v>5</v>
      </c>
      <c r="H280">
        <v>1</v>
      </c>
      <c r="I280">
        <v>10</v>
      </c>
      <c r="J280" t="b">
        <v>0</v>
      </c>
      <c r="K280" t="s">
        <v>1104</v>
      </c>
      <c r="L280">
        <v>36</v>
      </c>
      <c r="M280">
        <v>5</v>
      </c>
      <c r="N280" t="s">
        <v>1109</v>
      </c>
      <c r="O280">
        <v>61.7</v>
      </c>
      <c r="P280">
        <v>5.33</v>
      </c>
      <c r="Q280" t="s">
        <v>1111</v>
      </c>
    </row>
    <row r="281" spans="1:17">
      <c r="A281" s="2">
        <v>45881</v>
      </c>
      <c r="B281">
        <v>6</v>
      </c>
      <c r="C281">
        <v>20</v>
      </c>
      <c r="D281" t="s">
        <v>28</v>
      </c>
      <c r="E281" t="s">
        <v>148</v>
      </c>
      <c r="F281" t="s">
        <v>433</v>
      </c>
      <c r="G281">
        <v>4</v>
      </c>
      <c r="H281">
        <v>5</v>
      </c>
      <c r="I281">
        <v>9</v>
      </c>
      <c r="J281" t="b">
        <v>0</v>
      </c>
      <c r="K281" t="s">
        <v>1104</v>
      </c>
      <c r="L281">
        <v>36</v>
      </c>
      <c r="M281" t="s">
        <v>1221</v>
      </c>
      <c r="N281" t="s">
        <v>1107</v>
      </c>
      <c r="O281">
        <v>69.5</v>
      </c>
      <c r="P281">
        <v>6.48</v>
      </c>
      <c r="Q281" t="s">
        <v>1110</v>
      </c>
    </row>
    <row r="282" spans="1:17">
      <c r="A282" s="2">
        <v>45881</v>
      </c>
      <c r="B282">
        <v>7</v>
      </c>
      <c r="C282">
        <v>1</v>
      </c>
      <c r="D282" t="s">
        <v>17</v>
      </c>
      <c r="E282" t="s">
        <v>149</v>
      </c>
      <c r="F282" t="s">
        <v>434</v>
      </c>
      <c r="G282">
        <v>0</v>
      </c>
      <c r="H282">
        <v>0</v>
      </c>
      <c r="I282">
        <v>0</v>
      </c>
      <c r="J282" t="b">
        <v>0</v>
      </c>
      <c r="L282">
        <v>35</v>
      </c>
      <c r="N282" t="s">
        <v>1107</v>
      </c>
      <c r="O282">
        <v>80.400000000000006</v>
      </c>
      <c r="P282">
        <v>7.66</v>
      </c>
      <c r="Q282" t="s">
        <v>1111</v>
      </c>
    </row>
    <row r="283" spans="1:17">
      <c r="A283" s="2">
        <v>45881</v>
      </c>
      <c r="B283">
        <v>7</v>
      </c>
      <c r="C283">
        <v>2</v>
      </c>
      <c r="D283" t="s">
        <v>1269</v>
      </c>
      <c r="E283" t="s">
        <v>150</v>
      </c>
      <c r="F283" t="s">
        <v>435</v>
      </c>
      <c r="G283">
        <v>0</v>
      </c>
      <c r="H283">
        <v>0</v>
      </c>
      <c r="I283">
        <v>0</v>
      </c>
      <c r="J283" t="b">
        <v>0</v>
      </c>
      <c r="L283">
        <v>35</v>
      </c>
      <c r="N283" t="s">
        <v>1107</v>
      </c>
      <c r="O283">
        <v>60</v>
      </c>
      <c r="P283">
        <v>5.44</v>
      </c>
      <c r="Q283" t="s">
        <v>1110</v>
      </c>
    </row>
    <row r="284" spans="1:17">
      <c r="A284" s="2">
        <v>45881</v>
      </c>
      <c r="B284">
        <v>7</v>
      </c>
      <c r="C284">
        <v>3</v>
      </c>
      <c r="D284" t="s">
        <v>18</v>
      </c>
      <c r="E284" t="s">
        <v>151</v>
      </c>
      <c r="F284" t="s">
        <v>151</v>
      </c>
      <c r="G284">
        <v>1</v>
      </c>
      <c r="H284">
        <v>0</v>
      </c>
      <c r="I284">
        <v>1</v>
      </c>
      <c r="J284" t="b">
        <v>0</v>
      </c>
      <c r="L284">
        <v>35</v>
      </c>
      <c r="N284" t="s">
        <v>1107</v>
      </c>
      <c r="O284">
        <v>69.7</v>
      </c>
      <c r="P284">
        <v>6.73</v>
      </c>
      <c r="Q284" t="s">
        <v>1110</v>
      </c>
    </row>
    <row r="285" spans="1:17">
      <c r="A285" s="2">
        <v>45881</v>
      </c>
      <c r="B285">
        <v>7</v>
      </c>
      <c r="C285">
        <v>4</v>
      </c>
      <c r="D285" t="s">
        <v>19</v>
      </c>
      <c r="E285" t="s">
        <v>152</v>
      </c>
      <c r="F285" t="s">
        <v>436</v>
      </c>
      <c r="G285">
        <v>0</v>
      </c>
      <c r="H285">
        <v>1</v>
      </c>
      <c r="I285">
        <v>0</v>
      </c>
      <c r="J285" t="b">
        <v>0</v>
      </c>
      <c r="L285">
        <v>35</v>
      </c>
      <c r="M285">
        <v>8.1</v>
      </c>
      <c r="N285" t="s">
        <v>1107</v>
      </c>
      <c r="O285">
        <v>67.900000000000006</v>
      </c>
      <c r="P285">
        <v>6.71</v>
      </c>
      <c r="Q285" t="s">
        <v>1111</v>
      </c>
    </row>
    <row r="286" spans="1:17">
      <c r="A286" s="2">
        <v>45881</v>
      </c>
      <c r="B286">
        <v>7</v>
      </c>
      <c r="C286">
        <v>5</v>
      </c>
      <c r="D286" t="s">
        <v>1115</v>
      </c>
      <c r="E286" t="s">
        <v>153</v>
      </c>
      <c r="F286" t="s">
        <v>437</v>
      </c>
      <c r="G286">
        <v>2</v>
      </c>
      <c r="H286">
        <v>0</v>
      </c>
      <c r="I286">
        <v>2</v>
      </c>
      <c r="J286" t="b">
        <v>0</v>
      </c>
      <c r="L286">
        <v>35</v>
      </c>
      <c r="N286" t="s">
        <v>1107</v>
      </c>
      <c r="O286">
        <v>83.6</v>
      </c>
      <c r="P286">
        <v>6.3</v>
      </c>
      <c r="Q286" t="s">
        <v>1112</v>
      </c>
    </row>
    <row r="287" spans="1:17">
      <c r="A287" s="2">
        <v>45881</v>
      </c>
      <c r="B287">
        <v>7</v>
      </c>
      <c r="C287">
        <v>6</v>
      </c>
      <c r="D287" t="s">
        <v>1270</v>
      </c>
      <c r="E287" t="s">
        <v>154</v>
      </c>
      <c r="F287" t="s">
        <v>438</v>
      </c>
      <c r="G287">
        <v>4</v>
      </c>
      <c r="H287">
        <v>0</v>
      </c>
      <c r="I287">
        <v>6</v>
      </c>
      <c r="J287" t="b">
        <v>0</v>
      </c>
      <c r="L287">
        <v>35</v>
      </c>
      <c r="N287" t="s">
        <v>1107</v>
      </c>
      <c r="O287">
        <v>62.2</v>
      </c>
      <c r="P287">
        <v>5.0199999999999996</v>
      </c>
      <c r="Q287" t="s">
        <v>1112</v>
      </c>
    </row>
    <row r="288" spans="1:17">
      <c r="A288" s="2">
        <v>45881</v>
      </c>
      <c r="B288">
        <v>7</v>
      </c>
      <c r="C288">
        <v>7</v>
      </c>
      <c r="D288" t="s">
        <v>1114</v>
      </c>
      <c r="E288" t="s">
        <v>155</v>
      </c>
      <c r="F288" t="s">
        <v>439</v>
      </c>
      <c r="G288">
        <v>5</v>
      </c>
      <c r="H288">
        <v>1</v>
      </c>
      <c r="I288">
        <v>10</v>
      </c>
      <c r="J288" t="b">
        <v>0</v>
      </c>
      <c r="L288">
        <v>35</v>
      </c>
      <c r="M288">
        <v>7.8</v>
      </c>
      <c r="N288" t="s">
        <v>1107</v>
      </c>
      <c r="O288">
        <v>63.2</v>
      </c>
      <c r="P288">
        <v>5.88</v>
      </c>
      <c r="Q288" t="s">
        <v>1110</v>
      </c>
    </row>
    <row r="289" spans="1:17">
      <c r="A289" s="2">
        <v>45881</v>
      </c>
      <c r="B289">
        <v>7</v>
      </c>
      <c r="C289">
        <v>8</v>
      </c>
      <c r="D289" t="s">
        <v>1271</v>
      </c>
      <c r="E289" t="s">
        <v>156</v>
      </c>
      <c r="F289" t="s">
        <v>440</v>
      </c>
      <c r="G289">
        <v>0</v>
      </c>
      <c r="H289">
        <v>3</v>
      </c>
      <c r="I289">
        <v>7</v>
      </c>
      <c r="J289" t="b">
        <v>0</v>
      </c>
      <c r="L289">
        <v>35</v>
      </c>
      <c r="M289">
        <v>7.5</v>
      </c>
      <c r="N289" t="s">
        <v>1107</v>
      </c>
      <c r="O289">
        <v>61.3</v>
      </c>
      <c r="P289">
        <v>7.11</v>
      </c>
      <c r="Q289" t="s">
        <v>1111</v>
      </c>
    </row>
    <row r="290" spans="1:17">
      <c r="A290" s="2">
        <v>45881</v>
      </c>
      <c r="B290">
        <v>7</v>
      </c>
      <c r="C290">
        <v>9</v>
      </c>
      <c r="D290" t="s">
        <v>20</v>
      </c>
      <c r="E290" t="s">
        <v>157</v>
      </c>
      <c r="F290" t="s">
        <v>441</v>
      </c>
      <c r="G290">
        <v>2</v>
      </c>
      <c r="H290">
        <v>4</v>
      </c>
      <c r="I290">
        <v>5</v>
      </c>
      <c r="J290" t="b">
        <v>0</v>
      </c>
      <c r="L290">
        <v>35</v>
      </c>
      <c r="M290">
        <v>7.4</v>
      </c>
      <c r="N290" t="s">
        <v>1107</v>
      </c>
      <c r="O290">
        <v>81.5</v>
      </c>
      <c r="P290">
        <v>7.6</v>
      </c>
      <c r="Q290" t="s">
        <v>1110</v>
      </c>
    </row>
    <row r="291" spans="1:17">
      <c r="A291" s="2">
        <v>45881</v>
      </c>
      <c r="B291">
        <v>7</v>
      </c>
      <c r="C291">
        <v>10</v>
      </c>
      <c r="D291" t="s">
        <v>1113</v>
      </c>
      <c r="E291" t="s">
        <v>158</v>
      </c>
      <c r="F291" t="s">
        <v>442</v>
      </c>
      <c r="G291">
        <v>2</v>
      </c>
      <c r="H291">
        <v>3</v>
      </c>
      <c r="I291">
        <v>4</v>
      </c>
      <c r="J291" t="b">
        <v>0</v>
      </c>
      <c r="L291">
        <v>35</v>
      </c>
      <c r="M291">
        <v>8</v>
      </c>
      <c r="N291" t="s">
        <v>1107</v>
      </c>
      <c r="O291">
        <v>69.900000000000006</v>
      </c>
      <c r="P291">
        <v>5.95</v>
      </c>
      <c r="Q291" t="s">
        <v>1110</v>
      </c>
    </row>
    <row r="292" spans="1:17">
      <c r="A292" s="2">
        <v>45881</v>
      </c>
      <c r="B292">
        <v>7</v>
      </c>
      <c r="C292">
        <v>11</v>
      </c>
      <c r="D292" t="s">
        <v>1272</v>
      </c>
      <c r="E292" t="s">
        <v>159</v>
      </c>
      <c r="F292" t="s">
        <v>443</v>
      </c>
      <c r="G292">
        <v>2</v>
      </c>
      <c r="H292">
        <v>0</v>
      </c>
      <c r="I292">
        <v>6</v>
      </c>
      <c r="J292" t="b">
        <v>0</v>
      </c>
      <c r="L292">
        <v>35</v>
      </c>
      <c r="N292" t="s">
        <v>1107</v>
      </c>
      <c r="O292">
        <v>73.599999999999994</v>
      </c>
      <c r="P292">
        <v>6.99</v>
      </c>
      <c r="Q292" t="s">
        <v>1110</v>
      </c>
    </row>
    <row r="293" spans="1:17">
      <c r="A293" s="2">
        <v>45881</v>
      </c>
      <c r="B293">
        <v>7</v>
      </c>
      <c r="C293">
        <v>12</v>
      </c>
      <c r="D293" t="s">
        <v>21</v>
      </c>
      <c r="E293" t="s">
        <v>160</v>
      </c>
      <c r="F293" t="s">
        <v>444</v>
      </c>
      <c r="G293">
        <v>0</v>
      </c>
      <c r="H293">
        <v>3</v>
      </c>
      <c r="I293">
        <v>3</v>
      </c>
      <c r="J293" t="b">
        <v>0</v>
      </c>
      <c r="L293">
        <v>35</v>
      </c>
      <c r="M293">
        <v>6.8</v>
      </c>
      <c r="N293" t="s">
        <v>1107</v>
      </c>
      <c r="O293">
        <v>69.599999999999994</v>
      </c>
      <c r="P293">
        <v>7.77</v>
      </c>
      <c r="Q293" t="s">
        <v>1111</v>
      </c>
    </row>
    <row r="294" spans="1:17">
      <c r="A294" s="2">
        <v>45881</v>
      </c>
      <c r="B294">
        <v>7</v>
      </c>
      <c r="C294">
        <v>13</v>
      </c>
      <c r="D294" t="s">
        <v>22</v>
      </c>
      <c r="E294" t="s">
        <v>161</v>
      </c>
      <c r="F294" t="s">
        <v>445</v>
      </c>
      <c r="G294">
        <v>3</v>
      </c>
      <c r="H294">
        <v>3</v>
      </c>
      <c r="I294">
        <v>3</v>
      </c>
      <c r="J294" t="b">
        <v>0</v>
      </c>
      <c r="L294">
        <v>35</v>
      </c>
      <c r="N294" t="s">
        <v>1107</v>
      </c>
      <c r="O294">
        <v>84.9</v>
      </c>
      <c r="P294">
        <v>7.01</v>
      </c>
      <c r="Q294" t="s">
        <v>1110</v>
      </c>
    </row>
    <row r="295" spans="1:17">
      <c r="A295" s="2">
        <v>45881</v>
      </c>
      <c r="B295">
        <v>7</v>
      </c>
      <c r="C295">
        <v>14</v>
      </c>
      <c r="D295" t="s">
        <v>23</v>
      </c>
      <c r="E295" t="s">
        <v>162</v>
      </c>
      <c r="F295" t="s">
        <v>446</v>
      </c>
      <c r="G295">
        <v>1</v>
      </c>
      <c r="H295">
        <v>0</v>
      </c>
      <c r="I295">
        <v>4</v>
      </c>
      <c r="J295" t="b">
        <v>0</v>
      </c>
      <c r="L295">
        <v>35</v>
      </c>
      <c r="N295" t="s">
        <v>1107</v>
      </c>
      <c r="O295">
        <v>60.4</v>
      </c>
      <c r="P295">
        <v>7.16</v>
      </c>
      <c r="Q295" t="s">
        <v>1110</v>
      </c>
    </row>
    <row r="296" spans="1:17">
      <c r="A296" s="2">
        <v>45881</v>
      </c>
      <c r="B296">
        <v>7</v>
      </c>
      <c r="C296">
        <v>15</v>
      </c>
      <c r="D296" t="s">
        <v>24</v>
      </c>
      <c r="E296" t="s">
        <v>163</v>
      </c>
      <c r="F296" t="s">
        <v>447</v>
      </c>
      <c r="G296">
        <v>2</v>
      </c>
      <c r="H296">
        <v>4</v>
      </c>
      <c r="I296">
        <v>2</v>
      </c>
      <c r="J296" t="b">
        <v>0</v>
      </c>
      <c r="L296">
        <v>35</v>
      </c>
      <c r="M296">
        <v>6.7</v>
      </c>
      <c r="N296" t="s">
        <v>1107</v>
      </c>
      <c r="O296">
        <v>84.8</v>
      </c>
      <c r="P296">
        <v>5.25</v>
      </c>
      <c r="Q296" t="s">
        <v>1110</v>
      </c>
    </row>
    <row r="297" spans="1:17">
      <c r="A297" s="2">
        <v>45881</v>
      </c>
      <c r="B297">
        <v>7</v>
      </c>
      <c r="C297">
        <v>16</v>
      </c>
      <c r="D297" t="s">
        <v>1273</v>
      </c>
      <c r="E297" t="s">
        <v>164</v>
      </c>
      <c r="F297" t="s">
        <v>448</v>
      </c>
      <c r="G297">
        <v>0</v>
      </c>
      <c r="H297">
        <v>0</v>
      </c>
      <c r="I297">
        <v>2</v>
      </c>
      <c r="J297" t="b">
        <v>0</v>
      </c>
      <c r="L297">
        <v>35</v>
      </c>
      <c r="N297" t="s">
        <v>1107</v>
      </c>
      <c r="O297">
        <v>71.400000000000006</v>
      </c>
      <c r="P297">
        <v>7.37</v>
      </c>
      <c r="Q297" t="s">
        <v>1110</v>
      </c>
    </row>
    <row r="298" spans="1:17">
      <c r="A298" s="2">
        <v>45881</v>
      </c>
      <c r="B298">
        <v>7</v>
      </c>
      <c r="C298">
        <v>17</v>
      </c>
      <c r="D298" t="s">
        <v>25</v>
      </c>
      <c r="E298" t="s">
        <v>165</v>
      </c>
      <c r="F298" t="s">
        <v>449</v>
      </c>
      <c r="G298">
        <v>4</v>
      </c>
      <c r="H298">
        <v>1</v>
      </c>
      <c r="I298">
        <v>5</v>
      </c>
      <c r="J298" t="b">
        <v>0</v>
      </c>
      <c r="K298" t="s">
        <v>1104</v>
      </c>
      <c r="L298">
        <v>35</v>
      </c>
      <c r="M298">
        <v>4.0999999999999996</v>
      </c>
      <c r="N298" t="s">
        <v>1107</v>
      </c>
      <c r="O298">
        <v>64.5</v>
      </c>
      <c r="P298">
        <v>6.53</v>
      </c>
      <c r="Q298" t="s">
        <v>1110</v>
      </c>
    </row>
    <row r="299" spans="1:17">
      <c r="A299" s="2">
        <v>45881</v>
      </c>
      <c r="B299">
        <v>7</v>
      </c>
      <c r="C299">
        <v>18</v>
      </c>
      <c r="D299" t="s">
        <v>26</v>
      </c>
      <c r="E299" t="s">
        <v>166</v>
      </c>
      <c r="F299" t="s">
        <v>450</v>
      </c>
      <c r="G299">
        <v>1</v>
      </c>
      <c r="H299">
        <v>4</v>
      </c>
      <c r="I299">
        <v>2</v>
      </c>
      <c r="J299" t="b">
        <v>0</v>
      </c>
      <c r="K299" t="s">
        <v>1104</v>
      </c>
      <c r="L299">
        <v>35</v>
      </c>
      <c r="M299">
        <v>3.9</v>
      </c>
      <c r="N299" t="s">
        <v>1107</v>
      </c>
      <c r="O299">
        <v>68.900000000000006</v>
      </c>
      <c r="P299">
        <v>5.56</v>
      </c>
      <c r="Q299" t="s">
        <v>1110</v>
      </c>
    </row>
    <row r="300" spans="1:17">
      <c r="A300" s="2">
        <v>45881</v>
      </c>
      <c r="B300">
        <v>7</v>
      </c>
      <c r="C300">
        <v>19</v>
      </c>
      <c r="D300" t="s">
        <v>27</v>
      </c>
      <c r="E300" t="s">
        <v>167</v>
      </c>
      <c r="F300" t="s">
        <v>451</v>
      </c>
      <c r="G300">
        <v>3</v>
      </c>
      <c r="H300">
        <v>1</v>
      </c>
      <c r="I300">
        <v>4</v>
      </c>
      <c r="J300" t="b">
        <v>0</v>
      </c>
      <c r="K300" t="s">
        <v>1104</v>
      </c>
      <c r="L300">
        <v>35</v>
      </c>
      <c r="M300">
        <v>4.0999999999999996</v>
      </c>
      <c r="N300" t="s">
        <v>1107</v>
      </c>
      <c r="O300">
        <v>81.2</v>
      </c>
      <c r="P300">
        <v>5.71</v>
      </c>
      <c r="Q300" t="s">
        <v>1110</v>
      </c>
    </row>
    <row r="301" spans="1:17">
      <c r="A301" s="2">
        <v>45881</v>
      </c>
      <c r="B301">
        <v>7</v>
      </c>
      <c r="C301">
        <v>20</v>
      </c>
      <c r="D301" t="s">
        <v>28</v>
      </c>
      <c r="E301" t="s">
        <v>168</v>
      </c>
      <c r="F301" t="s">
        <v>452</v>
      </c>
      <c r="G301">
        <v>4</v>
      </c>
      <c r="H301">
        <v>2</v>
      </c>
      <c r="I301">
        <v>6</v>
      </c>
      <c r="J301" t="b">
        <v>0</v>
      </c>
      <c r="K301" t="s">
        <v>1104</v>
      </c>
      <c r="L301">
        <v>35</v>
      </c>
      <c r="M301">
        <v>4</v>
      </c>
      <c r="N301" t="s">
        <v>1107</v>
      </c>
      <c r="O301">
        <v>73.7</v>
      </c>
      <c r="P301">
        <v>6.1</v>
      </c>
      <c r="Q301" t="s">
        <v>1112</v>
      </c>
    </row>
    <row r="302" spans="1:17">
      <c r="A302" s="2">
        <v>45881</v>
      </c>
      <c r="B302">
        <v>8</v>
      </c>
      <c r="C302">
        <v>1</v>
      </c>
      <c r="D302" t="s">
        <v>17</v>
      </c>
      <c r="E302" t="s">
        <v>169</v>
      </c>
      <c r="F302" t="s">
        <v>453</v>
      </c>
      <c r="G302">
        <v>0</v>
      </c>
      <c r="H302">
        <v>0</v>
      </c>
      <c r="I302">
        <v>0</v>
      </c>
      <c r="J302" t="b">
        <v>0</v>
      </c>
      <c r="L302">
        <v>36</v>
      </c>
      <c r="N302" t="s">
        <v>1107</v>
      </c>
      <c r="O302">
        <v>77.599999999999994</v>
      </c>
      <c r="P302">
        <v>5.34</v>
      </c>
      <c r="Q302" t="s">
        <v>1110</v>
      </c>
    </row>
    <row r="303" spans="1:17">
      <c r="A303" s="2">
        <v>45881</v>
      </c>
      <c r="B303">
        <v>8</v>
      </c>
      <c r="C303">
        <v>2</v>
      </c>
      <c r="D303" t="s">
        <v>1269</v>
      </c>
      <c r="E303" t="s">
        <v>170</v>
      </c>
      <c r="F303" t="s">
        <v>452</v>
      </c>
      <c r="G303">
        <v>4</v>
      </c>
      <c r="H303">
        <v>0</v>
      </c>
      <c r="I303">
        <v>4</v>
      </c>
      <c r="J303" t="b">
        <v>0</v>
      </c>
      <c r="L303">
        <v>36</v>
      </c>
      <c r="N303" t="s">
        <v>1107</v>
      </c>
      <c r="O303">
        <v>63.6</v>
      </c>
      <c r="P303">
        <v>7.19</v>
      </c>
      <c r="Q303" t="s">
        <v>1112</v>
      </c>
    </row>
    <row r="304" spans="1:17">
      <c r="A304" s="2">
        <v>45881</v>
      </c>
      <c r="B304">
        <v>8</v>
      </c>
      <c r="C304">
        <v>3</v>
      </c>
      <c r="D304" t="s">
        <v>18</v>
      </c>
      <c r="E304" t="s">
        <v>171</v>
      </c>
      <c r="F304" t="s">
        <v>454</v>
      </c>
      <c r="G304">
        <v>1</v>
      </c>
      <c r="H304">
        <v>0</v>
      </c>
      <c r="I304">
        <v>5</v>
      </c>
      <c r="J304" t="b">
        <v>0</v>
      </c>
      <c r="L304">
        <v>36</v>
      </c>
      <c r="N304" t="s">
        <v>1106</v>
      </c>
      <c r="O304">
        <v>79.5</v>
      </c>
      <c r="P304">
        <v>6.39</v>
      </c>
      <c r="Q304" t="s">
        <v>1110</v>
      </c>
    </row>
    <row r="305" spans="1:17">
      <c r="A305" s="2">
        <v>45881</v>
      </c>
      <c r="B305">
        <v>8</v>
      </c>
      <c r="C305">
        <v>4</v>
      </c>
      <c r="D305" t="s">
        <v>19</v>
      </c>
      <c r="E305" t="s">
        <v>172</v>
      </c>
      <c r="F305" t="s">
        <v>455</v>
      </c>
      <c r="G305">
        <v>5</v>
      </c>
      <c r="H305">
        <v>2</v>
      </c>
      <c r="I305">
        <v>8</v>
      </c>
      <c r="J305" t="b">
        <v>0</v>
      </c>
      <c r="L305">
        <v>36</v>
      </c>
      <c r="M305" t="s">
        <v>1205</v>
      </c>
      <c r="N305" t="s">
        <v>1107</v>
      </c>
      <c r="O305">
        <v>62.2</v>
      </c>
      <c r="P305">
        <v>6.42</v>
      </c>
      <c r="Q305" t="s">
        <v>1110</v>
      </c>
    </row>
    <row r="306" spans="1:17">
      <c r="A306" s="2">
        <v>45881</v>
      </c>
      <c r="B306">
        <v>8</v>
      </c>
      <c r="C306">
        <v>5</v>
      </c>
      <c r="D306" t="s">
        <v>1115</v>
      </c>
      <c r="E306" t="s">
        <v>173</v>
      </c>
      <c r="F306" t="s">
        <v>456</v>
      </c>
      <c r="G306">
        <v>1</v>
      </c>
      <c r="H306">
        <v>1</v>
      </c>
      <c r="I306">
        <v>8</v>
      </c>
      <c r="J306" t="b">
        <v>0</v>
      </c>
      <c r="L306">
        <v>36</v>
      </c>
      <c r="M306" t="s">
        <v>1207</v>
      </c>
      <c r="N306" t="s">
        <v>1109</v>
      </c>
      <c r="O306">
        <v>62</v>
      </c>
      <c r="P306">
        <v>6.9</v>
      </c>
      <c r="Q306" t="s">
        <v>1110</v>
      </c>
    </row>
    <row r="307" spans="1:17">
      <c r="A307" s="2">
        <v>45881</v>
      </c>
      <c r="B307">
        <v>8</v>
      </c>
      <c r="C307">
        <v>6</v>
      </c>
      <c r="D307" t="s">
        <v>1270</v>
      </c>
      <c r="E307" t="s">
        <v>174</v>
      </c>
      <c r="F307" t="s">
        <v>457</v>
      </c>
      <c r="G307">
        <v>0</v>
      </c>
      <c r="H307">
        <v>1</v>
      </c>
      <c r="I307">
        <v>7</v>
      </c>
      <c r="J307" t="b">
        <v>0</v>
      </c>
      <c r="L307">
        <v>36</v>
      </c>
      <c r="M307" t="s">
        <v>1219</v>
      </c>
      <c r="N307" t="s">
        <v>1107</v>
      </c>
      <c r="O307">
        <v>61.3</v>
      </c>
      <c r="P307">
        <v>6.03</v>
      </c>
      <c r="Q307" t="s">
        <v>1110</v>
      </c>
    </row>
    <row r="308" spans="1:17">
      <c r="A308" s="2">
        <v>45881</v>
      </c>
      <c r="B308">
        <v>8</v>
      </c>
      <c r="C308">
        <v>7</v>
      </c>
      <c r="D308" t="s">
        <v>1114</v>
      </c>
      <c r="E308" t="s">
        <v>175</v>
      </c>
      <c r="F308" t="s">
        <v>458</v>
      </c>
      <c r="G308">
        <v>4</v>
      </c>
      <c r="H308">
        <v>5</v>
      </c>
      <c r="I308">
        <v>6</v>
      </c>
      <c r="J308" t="b">
        <v>0</v>
      </c>
      <c r="L308">
        <v>36</v>
      </c>
      <c r="M308" t="s">
        <v>1205</v>
      </c>
      <c r="N308" t="s">
        <v>1107</v>
      </c>
      <c r="O308">
        <v>72.8</v>
      </c>
      <c r="P308">
        <v>6.41</v>
      </c>
      <c r="Q308" t="s">
        <v>1110</v>
      </c>
    </row>
    <row r="309" spans="1:17">
      <c r="A309" s="2">
        <v>45881</v>
      </c>
      <c r="B309">
        <v>8</v>
      </c>
      <c r="C309">
        <v>8</v>
      </c>
      <c r="D309" t="s">
        <v>1271</v>
      </c>
      <c r="E309" t="s">
        <v>176</v>
      </c>
      <c r="F309" t="s">
        <v>459</v>
      </c>
      <c r="G309">
        <v>1</v>
      </c>
      <c r="H309">
        <v>0</v>
      </c>
      <c r="I309">
        <v>7</v>
      </c>
      <c r="J309" t="b">
        <v>0</v>
      </c>
      <c r="L309">
        <v>36</v>
      </c>
      <c r="N309" t="s">
        <v>1107</v>
      </c>
      <c r="O309">
        <v>84</v>
      </c>
      <c r="P309">
        <v>7.39</v>
      </c>
      <c r="Q309" t="s">
        <v>1110</v>
      </c>
    </row>
    <row r="310" spans="1:17">
      <c r="A310" s="2">
        <v>45881</v>
      </c>
      <c r="B310">
        <v>8</v>
      </c>
      <c r="C310">
        <v>9</v>
      </c>
      <c r="D310" t="s">
        <v>20</v>
      </c>
      <c r="E310" t="s">
        <v>177</v>
      </c>
      <c r="F310" t="s">
        <v>460</v>
      </c>
      <c r="G310">
        <v>5</v>
      </c>
      <c r="H310">
        <v>2</v>
      </c>
      <c r="I310">
        <v>10</v>
      </c>
      <c r="J310" t="b">
        <v>0</v>
      </c>
      <c r="L310">
        <v>36</v>
      </c>
      <c r="M310" t="s">
        <v>1207</v>
      </c>
      <c r="N310" t="s">
        <v>1107</v>
      </c>
      <c r="O310">
        <v>83.1</v>
      </c>
      <c r="P310">
        <v>7.25</v>
      </c>
      <c r="Q310" t="s">
        <v>1110</v>
      </c>
    </row>
    <row r="311" spans="1:17">
      <c r="A311" s="2">
        <v>45881</v>
      </c>
      <c r="B311">
        <v>8</v>
      </c>
      <c r="C311">
        <v>10</v>
      </c>
      <c r="D311" t="s">
        <v>1113</v>
      </c>
      <c r="E311" t="s">
        <v>178</v>
      </c>
      <c r="F311" t="s">
        <v>461</v>
      </c>
      <c r="G311">
        <v>5</v>
      </c>
      <c r="H311">
        <v>0</v>
      </c>
      <c r="I311">
        <v>15</v>
      </c>
      <c r="J311" t="b">
        <v>0</v>
      </c>
      <c r="L311">
        <v>36</v>
      </c>
      <c r="N311" t="s">
        <v>1107</v>
      </c>
      <c r="O311">
        <v>61.5</v>
      </c>
      <c r="P311">
        <v>6.42</v>
      </c>
      <c r="Q311" t="s">
        <v>1110</v>
      </c>
    </row>
    <row r="312" spans="1:17">
      <c r="A312" s="2">
        <v>45881</v>
      </c>
      <c r="B312">
        <v>8</v>
      </c>
      <c r="C312">
        <v>11</v>
      </c>
      <c r="D312" t="s">
        <v>1272</v>
      </c>
      <c r="E312" t="s">
        <v>179</v>
      </c>
      <c r="F312" t="s">
        <v>462</v>
      </c>
      <c r="G312">
        <v>5</v>
      </c>
      <c r="H312">
        <v>2</v>
      </c>
      <c r="I312">
        <v>18</v>
      </c>
      <c r="J312" t="b">
        <v>0</v>
      </c>
      <c r="L312">
        <v>36</v>
      </c>
      <c r="M312" t="s">
        <v>1214</v>
      </c>
      <c r="N312" t="s">
        <v>1107</v>
      </c>
      <c r="O312">
        <v>84.8</v>
      </c>
      <c r="P312">
        <v>7.43</v>
      </c>
      <c r="Q312" t="s">
        <v>1110</v>
      </c>
    </row>
    <row r="313" spans="1:17">
      <c r="A313" s="2">
        <v>45881</v>
      </c>
      <c r="B313">
        <v>8</v>
      </c>
      <c r="C313">
        <v>12</v>
      </c>
      <c r="D313" t="s">
        <v>21</v>
      </c>
      <c r="E313" t="s">
        <v>180</v>
      </c>
      <c r="F313" t="s">
        <v>463</v>
      </c>
      <c r="G313">
        <v>3</v>
      </c>
      <c r="H313">
        <v>1</v>
      </c>
      <c r="I313">
        <v>20</v>
      </c>
      <c r="J313" t="b">
        <v>0</v>
      </c>
      <c r="L313">
        <v>36</v>
      </c>
      <c r="M313" t="s">
        <v>1202</v>
      </c>
      <c r="N313" t="s">
        <v>1107</v>
      </c>
      <c r="O313">
        <v>62.1</v>
      </c>
      <c r="P313">
        <v>6.52</v>
      </c>
      <c r="Q313" t="s">
        <v>1111</v>
      </c>
    </row>
    <row r="314" spans="1:17">
      <c r="A314" s="2">
        <v>45881</v>
      </c>
      <c r="B314">
        <v>8</v>
      </c>
      <c r="C314">
        <v>13</v>
      </c>
      <c r="D314" t="s">
        <v>22</v>
      </c>
      <c r="E314" t="s">
        <v>181</v>
      </c>
      <c r="F314" t="s">
        <v>464</v>
      </c>
      <c r="G314">
        <v>5</v>
      </c>
      <c r="H314">
        <v>1</v>
      </c>
      <c r="I314">
        <v>24</v>
      </c>
      <c r="J314" t="b">
        <v>0</v>
      </c>
      <c r="L314">
        <v>36</v>
      </c>
      <c r="M314">
        <v>8</v>
      </c>
      <c r="N314" t="s">
        <v>1107</v>
      </c>
      <c r="O314">
        <v>63.3</v>
      </c>
      <c r="P314">
        <v>5.84</v>
      </c>
      <c r="Q314" t="s">
        <v>1111</v>
      </c>
    </row>
    <row r="315" spans="1:17">
      <c r="A315" s="2">
        <v>45881</v>
      </c>
      <c r="B315">
        <v>8</v>
      </c>
      <c r="C315">
        <v>14</v>
      </c>
      <c r="D315" t="s">
        <v>23</v>
      </c>
      <c r="E315" t="s">
        <v>182</v>
      </c>
      <c r="F315" t="s">
        <v>465</v>
      </c>
      <c r="G315">
        <v>1</v>
      </c>
      <c r="H315">
        <v>2</v>
      </c>
      <c r="I315">
        <v>23</v>
      </c>
      <c r="J315" t="b">
        <v>0</v>
      </c>
      <c r="L315">
        <v>36</v>
      </c>
      <c r="N315" t="s">
        <v>1107</v>
      </c>
      <c r="O315">
        <v>62.8</v>
      </c>
      <c r="P315">
        <v>5.52</v>
      </c>
      <c r="Q315" t="s">
        <v>1110</v>
      </c>
    </row>
    <row r="316" spans="1:17">
      <c r="A316" s="2">
        <v>45881</v>
      </c>
      <c r="B316">
        <v>8</v>
      </c>
      <c r="C316">
        <v>15</v>
      </c>
      <c r="D316" t="s">
        <v>24</v>
      </c>
      <c r="E316" t="s">
        <v>183</v>
      </c>
      <c r="F316" t="s">
        <v>466</v>
      </c>
      <c r="G316">
        <v>2</v>
      </c>
      <c r="H316">
        <v>1</v>
      </c>
      <c r="I316">
        <v>24</v>
      </c>
      <c r="J316" t="b">
        <v>0</v>
      </c>
      <c r="L316">
        <v>36</v>
      </c>
      <c r="M316" t="s">
        <v>1217</v>
      </c>
      <c r="N316" t="s">
        <v>1107</v>
      </c>
      <c r="O316">
        <v>71.2</v>
      </c>
      <c r="P316">
        <v>7.42</v>
      </c>
      <c r="Q316" t="s">
        <v>1110</v>
      </c>
    </row>
    <row r="317" spans="1:17">
      <c r="A317" s="2">
        <v>45881</v>
      </c>
      <c r="B317">
        <v>8</v>
      </c>
      <c r="C317">
        <v>16</v>
      </c>
      <c r="D317" t="s">
        <v>1273</v>
      </c>
      <c r="E317" t="s">
        <v>184</v>
      </c>
      <c r="F317" t="s">
        <v>467</v>
      </c>
      <c r="G317">
        <v>2</v>
      </c>
      <c r="H317">
        <v>4</v>
      </c>
      <c r="I317">
        <v>22</v>
      </c>
      <c r="J317" t="b">
        <v>0</v>
      </c>
      <c r="L317">
        <v>36</v>
      </c>
      <c r="M317" t="s">
        <v>1208</v>
      </c>
      <c r="N317" t="s">
        <v>1107</v>
      </c>
      <c r="O317">
        <v>72.099999999999994</v>
      </c>
      <c r="P317">
        <v>7.4</v>
      </c>
      <c r="Q317" t="s">
        <v>1111</v>
      </c>
    </row>
    <row r="318" spans="1:17">
      <c r="A318" s="2">
        <v>45881</v>
      </c>
      <c r="B318">
        <v>8</v>
      </c>
      <c r="C318">
        <v>17</v>
      </c>
      <c r="D318" t="s">
        <v>25</v>
      </c>
      <c r="E318" t="s">
        <v>185</v>
      </c>
      <c r="F318" t="s">
        <v>468</v>
      </c>
      <c r="G318">
        <v>5</v>
      </c>
      <c r="H318">
        <v>3</v>
      </c>
      <c r="I318">
        <v>24</v>
      </c>
      <c r="J318" t="b">
        <v>0</v>
      </c>
      <c r="K318" t="s">
        <v>1104</v>
      </c>
      <c r="L318">
        <v>36</v>
      </c>
      <c r="N318" t="s">
        <v>1107</v>
      </c>
      <c r="O318">
        <v>62.1</v>
      </c>
      <c r="P318">
        <v>5.44</v>
      </c>
      <c r="Q318" t="s">
        <v>1111</v>
      </c>
    </row>
    <row r="319" spans="1:17">
      <c r="A319" s="2">
        <v>45881</v>
      </c>
      <c r="B319">
        <v>8</v>
      </c>
      <c r="C319">
        <v>18</v>
      </c>
      <c r="D319" t="s">
        <v>26</v>
      </c>
      <c r="E319" t="s">
        <v>186</v>
      </c>
      <c r="F319" t="s">
        <v>331</v>
      </c>
      <c r="G319">
        <v>2</v>
      </c>
      <c r="H319">
        <v>3</v>
      </c>
      <c r="I319">
        <v>23</v>
      </c>
      <c r="J319" t="b">
        <v>0</v>
      </c>
      <c r="K319" t="s">
        <v>1104</v>
      </c>
      <c r="L319">
        <v>36</v>
      </c>
      <c r="M319">
        <v>5</v>
      </c>
      <c r="N319" t="s">
        <v>1107</v>
      </c>
      <c r="O319">
        <v>72.400000000000006</v>
      </c>
      <c r="P319">
        <v>7.98</v>
      </c>
      <c r="Q319" t="s">
        <v>1110</v>
      </c>
    </row>
    <row r="320" spans="1:17">
      <c r="A320" s="2">
        <v>45881</v>
      </c>
      <c r="B320">
        <v>8</v>
      </c>
      <c r="C320">
        <v>19</v>
      </c>
      <c r="D320" t="s">
        <v>27</v>
      </c>
      <c r="E320" t="s">
        <v>187</v>
      </c>
      <c r="F320" t="s">
        <v>469</v>
      </c>
      <c r="G320">
        <v>3</v>
      </c>
      <c r="H320">
        <v>3</v>
      </c>
      <c r="I320">
        <v>23</v>
      </c>
      <c r="J320" t="b">
        <v>0</v>
      </c>
      <c r="K320" t="s">
        <v>1104</v>
      </c>
      <c r="L320">
        <v>36</v>
      </c>
      <c r="M320" t="s">
        <v>1221</v>
      </c>
      <c r="N320" t="s">
        <v>1107</v>
      </c>
      <c r="O320">
        <v>71</v>
      </c>
      <c r="P320">
        <v>6.91</v>
      </c>
      <c r="Q320" t="s">
        <v>1110</v>
      </c>
    </row>
    <row r="321" spans="1:17">
      <c r="A321" s="2">
        <v>45881</v>
      </c>
      <c r="B321">
        <v>8</v>
      </c>
      <c r="C321">
        <v>20</v>
      </c>
      <c r="D321" t="s">
        <v>28</v>
      </c>
      <c r="E321" t="s">
        <v>188</v>
      </c>
      <c r="F321" t="s">
        <v>470</v>
      </c>
      <c r="G321">
        <v>3</v>
      </c>
      <c r="H321">
        <v>0</v>
      </c>
      <c r="I321">
        <v>26</v>
      </c>
      <c r="J321" t="b">
        <v>0</v>
      </c>
      <c r="K321" t="s">
        <v>1104</v>
      </c>
      <c r="L321">
        <v>36</v>
      </c>
      <c r="N321" t="s">
        <v>1107</v>
      </c>
      <c r="O321">
        <v>68.599999999999994</v>
      </c>
      <c r="P321">
        <v>6.93</v>
      </c>
      <c r="Q321" t="s">
        <v>1110</v>
      </c>
    </row>
    <row r="322" spans="1:17">
      <c r="A322" s="2">
        <v>45882</v>
      </c>
      <c r="B322">
        <v>1</v>
      </c>
      <c r="C322">
        <v>1</v>
      </c>
      <c r="D322" t="s">
        <v>17</v>
      </c>
      <c r="E322" t="s">
        <v>29</v>
      </c>
      <c r="F322" t="s">
        <v>29</v>
      </c>
      <c r="G322">
        <v>0</v>
      </c>
      <c r="H322">
        <v>0</v>
      </c>
      <c r="I322">
        <v>0</v>
      </c>
      <c r="J322" t="b">
        <v>0</v>
      </c>
      <c r="L322">
        <v>33</v>
      </c>
      <c r="N322" t="s">
        <v>1107</v>
      </c>
      <c r="O322">
        <v>64.2</v>
      </c>
      <c r="P322">
        <v>6.2</v>
      </c>
      <c r="Q322" t="s">
        <v>1110</v>
      </c>
    </row>
    <row r="323" spans="1:17">
      <c r="A323" s="2">
        <v>45882</v>
      </c>
      <c r="B323">
        <v>1</v>
      </c>
      <c r="C323">
        <v>2</v>
      </c>
      <c r="D323" t="s">
        <v>1269</v>
      </c>
      <c r="E323" t="s">
        <v>30</v>
      </c>
      <c r="F323" t="s">
        <v>471</v>
      </c>
      <c r="G323">
        <v>0</v>
      </c>
      <c r="H323">
        <v>0</v>
      </c>
      <c r="I323">
        <v>0</v>
      </c>
      <c r="J323" t="b">
        <v>0</v>
      </c>
      <c r="L323">
        <v>33</v>
      </c>
      <c r="N323" t="s">
        <v>1107</v>
      </c>
      <c r="O323">
        <v>78.8</v>
      </c>
      <c r="P323">
        <v>6.6</v>
      </c>
      <c r="Q323" t="s">
        <v>1110</v>
      </c>
    </row>
    <row r="324" spans="1:17">
      <c r="A324" s="2">
        <v>45882</v>
      </c>
      <c r="B324">
        <v>1</v>
      </c>
      <c r="C324">
        <v>3</v>
      </c>
      <c r="D324" t="s">
        <v>18</v>
      </c>
      <c r="E324" t="s">
        <v>31</v>
      </c>
      <c r="F324" t="s">
        <v>190</v>
      </c>
      <c r="G324">
        <v>5</v>
      </c>
      <c r="H324">
        <v>0</v>
      </c>
      <c r="I324">
        <v>5</v>
      </c>
      <c r="J324" t="b">
        <v>0</v>
      </c>
      <c r="L324">
        <v>33</v>
      </c>
      <c r="N324" t="s">
        <v>1107</v>
      </c>
      <c r="O324">
        <v>71.900000000000006</v>
      </c>
      <c r="P324">
        <v>5.44</v>
      </c>
      <c r="Q324" t="s">
        <v>1111</v>
      </c>
    </row>
    <row r="325" spans="1:17">
      <c r="A325" s="2">
        <v>45882</v>
      </c>
      <c r="B325">
        <v>1</v>
      </c>
      <c r="C325">
        <v>4</v>
      </c>
      <c r="D325" t="s">
        <v>19</v>
      </c>
      <c r="E325" t="s">
        <v>32</v>
      </c>
      <c r="F325" t="s">
        <v>472</v>
      </c>
      <c r="G325">
        <v>0</v>
      </c>
      <c r="H325">
        <v>4</v>
      </c>
      <c r="I325">
        <v>1</v>
      </c>
      <c r="J325" t="b">
        <v>0</v>
      </c>
      <c r="L325">
        <v>33</v>
      </c>
      <c r="M325">
        <v>10</v>
      </c>
      <c r="N325" t="s">
        <v>1107</v>
      </c>
      <c r="O325">
        <v>83.2</v>
      </c>
      <c r="P325">
        <v>6.35</v>
      </c>
      <c r="Q325" t="s">
        <v>1110</v>
      </c>
    </row>
    <row r="326" spans="1:17">
      <c r="A326" s="2">
        <v>45882</v>
      </c>
      <c r="B326">
        <v>1</v>
      </c>
      <c r="C326">
        <v>5</v>
      </c>
      <c r="D326" t="s">
        <v>1115</v>
      </c>
      <c r="E326" t="s">
        <v>33</v>
      </c>
      <c r="F326" t="s">
        <v>473</v>
      </c>
      <c r="G326">
        <v>3</v>
      </c>
      <c r="H326">
        <v>0</v>
      </c>
      <c r="I326">
        <v>4</v>
      </c>
      <c r="J326" t="b">
        <v>0</v>
      </c>
      <c r="L326">
        <v>33</v>
      </c>
      <c r="N326" t="s">
        <v>1109</v>
      </c>
      <c r="O326">
        <v>77.099999999999994</v>
      </c>
      <c r="P326">
        <v>5.12</v>
      </c>
      <c r="Q326" t="s">
        <v>1111</v>
      </c>
    </row>
    <row r="327" spans="1:17">
      <c r="A327" s="2">
        <v>45882</v>
      </c>
      <c r="B327">
        <v>1</v>
      </c>
      <c r="C327">
        <v>6</v>
      </c>
      <c r="D327" t="s">
        <v>1270</v>
      </c>
      <c r="E327" t="s">
        <v>34</v>
      </c>
      <c r="F327" t="s">
        <v>474</v>
      </c>
      <c r="G327">
        <v>2</v>
      </c>
      <c r="H327">
        <v>3</v>
      </c>
      <c r="I327">
        <v>3</v>
      </c>
      <c r="J327" t="b">
        <v>0</v>
      </c>
      <c r="L327">
        <v>33</v>
      </c>
      <c r="M327">
        <v>10</v>
      </c>
      <c r="N327" t="s">
        <v>1107</v>
      </c>
      <c r="O327">
        <v>83.9</v>
      </c>
      <c r="P327">
        <v>6.3</v>
      </c>
      <c r="Q327" t="s">
        <v>1111</v>
      </c>
    </row>
    <row r="328" spans="1:17">
      <c r="A328" s="2">
        <v>45882</v>
      </c>
      <c r="B328">
        <v>1</v>
      </c>
      <c r="C328">
        <v>7</v>
      </c>
      <c r="D328" t="s">
        <v>1114</v>
      </c>
      <c r="E328" t="s">
        <v>35</v>
      </c>
      <c r="F328" t="s">
        <v>475</v>
      </c>
      <c r="G328">
        <v>5</v>
      </c>
      <c r="H328">
        <v>3</v>
      </c>
      <c r="I328">
        <v>5</v>
      </c>
      <c r="J328" t="b">
        <v>0</v>
      </c>
      <c r="L328">
        <v>33</v>
      </c>
      <c r="M328">
        <v>10</v>
      </c>
      <c r="N328" t="s">
        <v>1107</v>
      </c>
      <c r="O328">
        <v>68.400000000000006</v>
      </c>
      <c r="P328">
        <v>5.8</v>
      </c>
      <c r="Q328" t="s">
        <v>1110</v>
      </c>
    </row>
    <row r="329" spans="1:17">
      <c r="A329" s="2">
        <v>45882</v>
      </c>
      <c r="B329">
        <v>1</v>
      </c>
      <c r="C329">
        <v>8</v>
      </c>
      <c r="D329" t="s">
        <v>1271</v>
      </c>
      <c r="E329" t="s">
        <v>36</v>
      </c>
      <c r="F329" t="s">
        <v>476</v>
      </c>
      <c r="G329">
        <v>3</v>
      </c>
      <c r="H329">
        <v>0</v>
      </c>
      <c r="I329">
        <v>8</v>
      </c>
      <c r="J329" t="b">
        <v>0</v>
      </c>
      <c r="L329">
        <v>33</v>
      </c>
      <c r="N329" t="s">
        <v>1107</v>
      </c>
      <c r="O329">
        <v>69.8</v>
      </c>
      <c r="P329">
        <v>7.32</v>
      </c>
      <c r="Q329" t="s">
        <v>1110</v>
      </c>
    </row>
    <row r="330" spans="1:17">
      <c r="A330" s="2">
        <v>45882</v>
      </c>
      <c r="B330">
        <v>1</v>
      </c>
      <c r="C330">
        <v>9</v>
      </c>
      <c r="D330" t="s">
        <v>20</v>
      </c>
      <c r="E330" t="s">
        <v>37</v>
      </c>
      <c r="F330" t="s">
        <v>477</v>
      </c>
      <c r="G330">
        <v>2</v>
      </c>
      <c r="H330">
        <v>2</v>
      </c>
      <c r="I330">
        <v>8</v>
      </c>
      <c r="J330" t="b">
        <v>0</v>
      </c>
      <c r="L330">
        <v>33</v>
      </c>
      <c r="M330">
        <v>10</v>
      </c>
      <c r="N330" t="s">
        <v>1107</v>
      </c>
      <c r="O330">
        <v>74.7</v>
      </c>
      <c r="P330">
        <v>5.58</v>
      </c>
      <c r="Q330" t="s">
        <v>1110</v>
      </c>
    </row>
    <row r="331" spans="1:17">
      <c r="A331" s="2">
        <v>45882</v>
      </c>
      <c r="B331">
        <v>1</v>
      </c>
      <c r="C331">
        <v>10</v>
      </c>
      <c r="D331" t="s">
        <v>1113</v>
      </c>
      <c r="E331" t="s">
        <v>38</v>
      </c>
      <c r="F331" t="s">
        <v>478</v>
      </c>
      <c r="G331">
        <v>2</v>
      </c>
      <c r="H331">
        <v>1</v>
      </c>
      <c r="I331">
        <v>9</v>
      </c>
      <c r="J331" t="b">
        <v>0</v>
      </c>
      <c r="L331">
        <v>33</v>
      </c>
      <c r="M331">
        <v>9.6</v>
      </c>
      <c r="N331" t="s">
        <v>1107</v>
      </c>
      <c r="O331">
        <v>64.5</v>
      </c>
      <c r="P331">
        <v>6.64</v>
      </c>
      <c r="Q331" t="s">
        <v>1110</v>
      </c>
    </row>
    <row r="332" spans="1:17">
      <c r="A332" s="2">
        <v>45882</v>
      </c>
      <c r="B332">
        <v>1</v>
      </c>
      <c r="C332">
        <v>11</v>
      </c>
      <c r="D332" t="s">
        <v>1272</v>
      </c>
      <c r="E332" t="s">
        <v>39</v>
      </c>
      <c r="F332" t="s">
        <v>479</v>
      </c>
      <c r="G332">
        <v>2</v>
      </c>
      <c r="H332">
        <v>3</v>
      </c>
      <c r="I332">
        <v>8</v>
      </c>
      <c r="J332" t="b">
        <v>0</v>
      </c>
      <c r="L332">
        <v>33</v>
      </c>
      <c r="M332">
        <v>10</v>
      </c>
      <c r="N332" t="s">
        <v>1107</v>
      </c>
      <c r="O332">
        <v>60.3</v>
      </c>
      <c r="P332">
        <v>5.29</v>
      </c>
      <c r="Q332" t="s">
        <v>1110</v>
      </c>
    </row>
    <row r="333" spans="1:17">
      <c r="A333" s="2">
        <v>45882</v>
      </c>
      <c r="B333">
        <v>1</v>
      </c>
      <c r="C333">
        <v>12</v>
      </c>
      <c r="D333" t="s">
        <v>21</v>
      </c>
      <c r="E333" t="s">
        <v>40</v>
      </c>
      <c r="F333" t="s">
        <v>480</v>
      </c>
      <c r="G333">
        <v>4</v>
      </c>
      <c r="H333">
        <v>3</v>
      </c>
      <c r="I333">
        <v>9</v>
      </c>
      <c r="J333" t="b">
        <v>0</v>
      </c>
      <c r="L333">
        <v>33</v>
      </c>
      <c r="M333">
        <v>9.8000000000000007</v>
      </c>
      <c r="N333" t="s">
        <v>1107</v>
      </c>
      <c r="O333">
        <v>65.5</v>
      </c>
      <c r="P333">
        <v>5.85</v>
      </c>
      <c r="Q333" t="s">
        <v>1110</v>
      </c>
    </row>
    <row r="334" spans="1:17">
      <c r="A334" s="2">
        <v>45882</v>
      </c>
      <c r="B334">
        <v>1</v>
      </c>
      <c r="C334">
        <v>13</v>
      </c>
      <c r="D334" t="s">
        <v>22</v>
      </c>
      <c r="E334" t="s">
        <v>41</v>
      </c>
      <c r="F334" t="s">
        <v>481</v>
      </c>
      <c r="G334">
        <v>2</v>
      </c>
      <c r="H334">
        <v>0</v>
      </c>
      <c r="I334">
        <v>11</v>
      </c>
      <c r="J334" t="b">
        <v>0</v>
      </c>
      <c r="L334">
        <v>33</v>
      </c>
      <c r="N334" t="s">
        <v>1107</v>
      </c>
      <c r="O334">
        <v>62.3</v>
      </c>
      <c r="P334">
        <v>7.82</v>
      </c>
      <c r="Q334" t="s">
        <v>1110</v>
      </c>
    </row>
    <row r="335" spans="1:17">
      <c r="A335" s="2">
        <v>45882</v>
      </c>
      <c r="B335">
        <v>1</v>
      </c>
      <c r="C335">
        <v>14</v>
      </c>
      <c r="D335" t="s">
        <v>23</v>
      </c>
      <c r="E335" t="s">
        <v>42</v>
      </c>
      <c r="F335" t="s">
        <v>482</v>
      </c>
      <c r="G335">
        <v>3</v>
      </c>
      <c r="H335">
        <v>0</v>
      </c>
      <c r="I335">
        <v>14</v>
      </c>
      <c r="J335" t="b">
        <v>0</v>
      </c>
      <c r="L335">
        <v>33</v>
      </c>
      <c r="N335" t="s">
        <v>1107</v>
      </c>
      <c r="O335">
        <v>83.8</v>
      </c>
      <c r="P335">
        <v>6.91</v>
      </c>
      <c r="Q335" t="s">
        <v>1110</v>
      </c>
    </row>
    <row r="336" spans="1:17">
      <c r="A336" s="2">
        <v>45882</v>
      </c>
      <c r="B336">
        <v>1</v>
      </c>
      <c r="C336">
        <v>15</v>
      </c>
      <c r="D336" t="s">
        <v>24</v>
      </c>
      <c r="E336" t="s">
        <v>43</v>
      </c>
      <c r="F336" t="s">
        <v>483</v>
      </c>
      <c r="G336">
        <v>5</v>
      </c>
      <c r="H336">
        <v>0</v>
      </c>
      <c r="I336">
        <v>19</v>
      </c>
      <c r="J336" t="b">
        <v>0</v>
      </c>
      <c r="L336">
        <v>33</v>
      </c>
      <c r="N336" t="s">
        <v>1107</v>
      </c>
      <c r="O336">
        <v>81.400000000000006</v>
      </c>
      <c r="P336">
        <v>5.39</v>
      </c>
      <c r="Q336" t="s">
        <v>1110</v>
      </c>
    </row>
    <row r="337" spans="1:17">
      <c r="A337" s="2">
        <v>45882</v>
      </c>
      <c r="B337">
        <v>1</v>
      </c>
      <c r="C337">
        <v>16</v>
      </c>
      <c r="D337" t="s">
        <v>1273</v>
      </c>
      <c r="E337" t="s">
        <v>44</v>
      </c>
      <c r="F337" t="s">
        <v>484</v>
      </c>
      <c r="G337">
        <v>3</v>
      </c>
      <c r="H337">
        <v>3</v>
      </c>
      <c r="I337">
        <v>19</v>
      </c>
      <c r="J337" t="b">
        <v>0</v>
      </c>
      <c r="L337">
        <v>33</v>
      </c>
      <c r="N337" t="s">
        <v>1107</v>
      </c>
      <c r="O337">
        <v>74.2</v>
      </c>
      <c r="P337">
        <v>7.9</v>
      </c>
      <c r="Q337" t="s">
        <v>1111</v>
      </c>
    </row>
    <row r="338" spans="1:17">
      <c r="A338" s="2">
        <v>45882</v>
      </c>
      <c r="B338">
        <v>1</v>
      </c>
      <c r="C338">
        <v>17</v>
      </c>
      <c r="D338" t="s">
        <v>25</v>
      </c>
      <c r="E338" t="s">
        <v>45</v>
      </c>
      <c r="F338" t="s">
        <v>485</v>
      </c>
      <c r="G338">
        <v>2</v>
      </c>
      <c r="H338">
        <v>4</v>
      </c>
      <c r="I338">
        <v>17</v>
      </c>
      <c r="J338" t="b">
        <v>0</v>
      </c>
      <c r="K338" t="s">
        <v>1104</v>
      </c>
      <c r="L338">
        <v>33</v>
      </c>
      <c r="M338">
        <v>5.9</v>
      </c>
      <c r="N338" t="s">
        <v>1107</v>
      </c>
      <c r="O338">
        <v>66.3</v>
      </c>
      <c r="P338">
        <v>6.4</v>
      </c>
      <c r="Q338" t="s">
        <v>1111</v>
      </c>
    </row>
    <row r="339" spans="1:17">
      <c r="A339" s="2">
        <v>45882</v>
      </c>
      <c r="B339">
        <v>1</v>
      </c>
      <c r="C339">
        <v>18</v>
      </c>
      <c r="D339" t="s">
        <v>26</v>
      </c>
      <c r="E339" t="s">
        <v>46</v>
      </c>
      <c r="F339" t="s">
        <v>486</v>
      </c>
      <c r="G339">
        <v>5</v>
      </c>
      <c r="H339">
        <v>3</v>
      </c>
      <c r="I339">
        <v>19</v>
      </c>
      <c r="J339" t="b">
        <v>0</v>
      </c>
      <c r="K339" t="s">
        <v>1104</v>
      </c>
      <c r="L339">
        <v>33</v>
      </c>
      <c r="M339">
        <v>6.1</v>
      </c>
      <c r="N339" t="s">
        <v>1107</v>
      </c>
      <c r="O339">
        <v>83.1</v>
      </c>
      <c r="P339">
        <v>5.83</v>
      </c>
      <c r="Q339" t="s">
        <v>1110</v>
      </c>
    </row>
    <row r="340" spans="1:17">
      <c r="A340" s="2">
        <v>45882</v>
      </c>
      <c r="B340">
        <v>1</v>
      </c>
      <c r="C340">
        <v>19</v>
      </c>
      <c r="D340" t="s">
        <v>27</v>
      </c>
      <c r="E340" t="s">
        <v>47</v>
      </c>
      <c r="F340" t="s">
        <v>487</v>
      </c>
      <c r="G340">
        <v>1</v>
      </c>
      <c r="H340">
        <v>0</v>
      </c>
      <c r="I340">
        <v>20</v>
      </c>
      <c r="J340" t="b">
        <v>0</v>
      </c>
      <c r="K340" t="s">
        <v>1104</v>
      </c>
      <c r="L340">
        <v>33</v>
      </c>
      <c r="N340" t="s">
        <v>1108</v>
      </c>
      <c r="O340">
        <v>79.2</v>
      </c>
      <c r="P340">
        <v>5.97</v>
      </c>
      <c r="Q340" t="s">
        <v>1110</v>
      </c>
    </row>
    <row r="341" spans="1:17">
      <c r="A341" s="2">
        <v>45882</v>
      </c>
      <c r="B341">
        <v>1</v>
      </c>
      <c r="C341">
        <v>20</v>
      </c>
      <c r="D341" t="s">
        <v>28</v>
      </c>
      <c r="E341" t="s">
        <v>48</v>
      </c>
      <c r="F341" t="s">
        <v>488</v>
      </c>
      <c r="G341">
        <v>2</v>
      </c>
      <c r="H341">
        <v>1</v>
      </c>
      <c r="I341">
        <v>21</v>
      </c>
      <c r="J341" t="b">
        <v>0</v>
      </c>
      <c r="K341" t="s">
        <v>1104</v>
      </c>
      <c r="L341">
        <v>33</v>
      </c>
      <c r="M341">
        <v>5.9</v>
      </c>
      <c r="N341" t="s">
        <v>1107</v>
      </c>
      <c r="O341">
        <v>79.400000000000006</v>
      </c>
      <c r="P341">
        <v>6.15</v>
      </c>
      <c r="Q341" t="s">
        <v>1110</v>
      </c>
    </row>
    <row r="342" spans="1:17">
      <c r="A342" s="2">
        <v>45882</v>
      </c>
      <c r="B342">
        <v>2</v>
      </c>
      <c r="C342">
        <v>1</v>
      </c>
      <c r="D342" t="s">
        <v>17</v>
      </c>
      <c r="E342" t="s">
        <v>49</v>
      </c>
      <c r="F342" t="s">
        <v>489</v>
      </c>
      <c r="G342">
        <v>0</v>
      </c>
      <c r="H342">
        <v>0</v>
      </c>
      <c r="I342">
        <v>0</v>
      </c>
      <c r="J342" t="b">
        <v>0</v>
      </c>
      <c r="L342">
        <v>34</v>
      </c>
      <c r="N342" t="s">
        <v>1107</v>
      </c>
      <c r="O342">
        <v>83.9</v>
      </c>
      <c r="P342">
        <v>5.79</v>
      </c>
      <c r="Q342" t="s">
        <v>1110</v>
      </c>
    </row>
    <row r="343" spans="1:17">
      <c r="A343" s="2">
        <v>45882</v>
      </c>
      <c r="B343">
        <v>2</v>
      </c>
      <c r="C343">
        <v>2</v>
      </c>
      <c r="D343" t="s">
        <v>1269</v>
      </c>
      <c r="E343" t="s">
        <v>50</v>
      </c>
      <c r="F343" t="s">
        <v>490</v>
      </c>
      <c r="G343">
        <v>0</v>
      </c>
      <c r="H343">
        <v>0</v>
      </c>
      <c r="I343">
        <v>0</v>
      </c>
      <c r="J343" t="b">
        <v>0</v>
      </c>
      <c r="L343">
        <v>34</v>
      </c>
      <c r="N343" t="s">
        <v>1107</v>
      </c>
      <c r="O343">
        <v>83.2</v>
      </c>
      <c r="P343">
        <v>6.83</v>
      </c>
      <c r="Q343" t="s">
        <v>1110</v>
      </c>
    </row>
    <row r="344" spans="1:17">
      <c r="A344" s="2">
        <v>45882</v>
      </c>
      <c r="B344">
        <v>2</v>
      </c>
      <c r="C344">
        <v>3</v>
      </c>
      <c r="D344" t="s">
        <v>18</v>
      </c>
      <c r="E344" t="s">
        <v>51</v>
      </c>
      <c r="F344" t="s">
        <v>491</v>
      </c>
      <c r="G344">
        <v>5</v>
      </c>
      <c r="H344">
        <v>0</v>
      </c>
      <c r="I344">
        <v>5</v>
      </c>
      <c r="J344" t="b">
        <v>0</v>
      </c>
      <c r="L344">
        <v>34</v>
      </c>
      <c r="N344" t="s">
        <v>1107</v>
      </c>
      <c r="O344">
        <v>63.6</v>
      </c>
      <c r="P344">
        <v>7.31</v>
      </c>
      <c r="Q344" t="s">
        <v>1110</v>
      </c>
    </row>
    <row r="345" spans="1:17">
      <c r="A345" s="2">
        <v>45882</v>
      </c>
      <c r="B345">
        <v>2</v>
      </c>
      <c r="C345">
        <v>4</v>
      </c>
      <c r="D345" t="s">
        <v>19</v>
      </c>
      <c r="E345" t="s">
        <v>52</v>
      </c>
      <c r="F345" t="s">
        <v>492</v>
      </c>
      <c r="G345">
        <v>0</v>
      </c>
      <c r="H345">
        <v>4</v>
      </c>
      <c r="I345">
        <v>1</v>
      </c>
      <c r="J345" t="b">
        <v>0</v>
      </c>
      <c r="L345">
        <v>34</v>
      </c>
      <c r="M345">
        <v>9.5</v>
      </c>
      <c r="N345" t="s">
        <v>1107</v>
      </c>
      <c r="O345">
        <v>82.8</v>
      </c>
      <c r="P345">
        <v>7.15</v>
      </c>
      <c r="Q345" t="s">
        <v>1110</v>
      </c>
    </row>
    <row r="346" spans="1:17">
      <c r="A346" s="2">
        <v>45882</v>
      </c>
      <c r="B346">
        <v>2</v>
      </c>
      <c r="C346">
        <v>5</v>
      </c>
      <c r="D346" t="s">
        <v>1115</v>
      </c>
      <c r="E346" t="s">
        <v>53</v>
      </c>
      <c r="F346" t="s">
        <v>493</v>
      </c>
      <c r="G346">
        <v>1</v>
      </c>
      <c r="H346">
        <v>0</v>
      </c>
      <c r="I346">
        <v>2</v>
      </c>
      <c r="J346" t="b">
        <v>0</v>
      </c>
      <c r="L346">
        <v>34</v>
      </c>
      <c r="N346" t="s">
        <v>1107</v>
      </c>
      <c r="O346">
        <v>74.3</v>
      </c>
      <c r="P346">
        <v>5.75</v>
      </c>
      <c r="Q346" t="s">
        <v>1110</v>
      </c>
    </row>
    <row r="347" spans="1:17">
      <c r="A347" s="2">
        <v>45882</v>
      </c>
      <c r="B347">
        <v>2</v>
      </c>
      <c r="C347">
        <v>6</v>
      </c>
      <c r="D347" t="s">
        <v>1270</v>
      </c>
      <c r="E347" t="s">
        <v>54</v>
      </c>
      <c r="F347" t="s">
        <v>494</v>
      </c>
      <c r="G347">
        <v>3</v>
      </c>
      <c r="H347">
        <v>0</v>
      </c>
      <c r="I347">
        <v>5</v>
      </c>
      <c r="J347" t="b">
        <v>0</v>
      </c>
      <c r="L347">
        <v>34</v>
      </c>
      <c r="N347" t="s">
        <v>1107</v>
      </c>
      <c r="O347">
        <v>63.7</v>
      </c>
      <c r="P347">
        <v>6.92</v>
      </c>
      <c r="Q347" t="s">
        <v>1111</v>
      </c>
    </row>
    <row r="348" spans="1:17">
      <c r="A348" s="2">
        <v>45882</v>
      </c>
      <c r="B348">
        <v>2</v>
      </c>
      <c r="C348">
        <v>7</v>
      </c>
      <c r="D348" t="s">
        <v>1114</v>
      </c>
      <c r="E348" t="s">
        <v>55</v>
      </c>
      <c r="F348" t="s">
        <v>495</v>
      </c>
      <c r="G348">
        <v>1</v>
      </c>
      <c r="H348">
        <v>5</v>
      </c>
      <c r="I348">
        <v>1</v>
      </c>
      <c r="J348" t="b">
        <v>0</v>
      </c>
      <c r="L348">
        <v>34</v>
      </c>
      <c r="M348">
        <v>8.6999999999999993</v>
      </c>
      <c r="N348" t="s">
        <v>1107</v>
      </c>
      <c r="O348">
        <v>66.7</v>
      </c>
      <c r="P348">
        <v>7.1</v>
      </c>
      <c r="Q348" t="s">
        <v>1111</v>
      </c>
    </row>
    <row r="349" spans="1:17">
      <c r="A349" s="2">
        <v>45882</v>
      </c>
      <c r="B349">
        <v>2</v>
      </c>
      <c r="C349">
        <v>8</v>
      </c>
      <c r="D349" t="s">
        <v>1271</v>
      </c>
      <c r="E349" t="s">
        <v>56</v>
      </c>
      <c r="F349" t="s">
        <v>56</v>
      </c>
      <c r="G349">
        <v>4</v>
      </c>
      <c r="H349">
        <v>1</v>
      </c>
      <c r="I349">
        <v>4</v>
      </c>
      <c r="J349" t="b">
        <v>0</v>
      </c>
      <c r="L349">
        <v>34</v>
      </c>
      <c r="M349">
        <v>10</v>
      </c>
      <c r="N349" t="s">
        <v>1107</v>
      </c>
      <c r="O349">
        <v>72.900000000000006</v>
      </c>
      <c r="P349">
        <v>7.82</v>
      </c>
      <c r="Q349" t="s">
        <v>1110</v>
      </c>
    </row>
    <row r="350" spans="1:17">
      <c r="A350" s="2">
        <v>45882</v>
      </c>
      <c r="B350">
        <v>2</v>
      </c>
      <c r="C350">
        <v>9</v>
      </c>
      <c r="D350" t="s">
        <v>20</v>
      </c>
      <c r="E350" t="s">
        <v>57</v>
      </c>
      <c r="F350" t="s">
        <v>496</v>
      </c>
      <c r="G350">
        <v>3</v>
      </c>
      <c r="H350">
        <v>3</v>
      </c>
      <c r="I350">
        <v>4</v>
      </c>
      <c r="J350" t="b">
        <v>0</v>
      </c>
      <c r="L350">
        <v>34</v>
      </c>
      <c r="M350">
        <v>9.4</v>
      </c>
      <c r="N350" t="s">
        <v>1107</v>
      </c>
      <c r="O350">
        <v>81.099999999999994</v>
      </c>
      <c r="P350">
        <v>7.34</v>
      </c>
      <c r="Q350" t="s">
        <v>1110</v>
      </c>
    </row>
    <row r="351" spans="1:17">
      <c r="A351" s="2">
        <v>45882</v>
      </c>
      <c r="B351">
        <v>2</v>
      </c>
      <c r="C351">
        <v>10</v>
      </c>
      <c r="D351" t="s">
        <v>1113</v>
      </c>
      <c r="E351" t="s">
        <v>58</v>
      </c>
      <c r="F351" t="s">
        <v>497</v>
      </c>
      <c r="G351">
        <v>3</v>
      </c>
      <c r="H351">
        <v>1</v>
      </c>
      <c r="I351">
        <v>6</v>
      </c>
      <c r="J351" t="b">
        <v>0</v>
      </c>
      <c r="L351">
        <v>34</v>
      </c>
      <c r="M351">
        <v>7.9</v>
      </c>
      <c r="N351" t="s">
        <v>1107</v>
      </c>
      <c r="O351">
        <v>60.1</v>
      </c>
      <c r="P351">
        <v>7.86</v>
      </c>
      <c r="Q351" t="s">
        <v>1111</v>
      </c>
    </row>
    <row r="352" spans="1:17">
      <c r="A352" s="2">
        <v>45882</v>
      </c>
      <c r="B352">
        <v>2</v>
      </c>
      <c r="C352">
        <v>11</v>
      </c>
      <c r="D352" t="s">
        <v>1272</v>
      </c>
      <c r="E352" t="s">
        <v>59</v>
      </c>
      <c r="F352" t="s">
        <v>498</v>
      </c>
      <c r="G352">
        <v>1</v>
      </c>
      <c r="H352">
        <v>3</v>
      </c>
      <c r="I352">
        <v>4</v>
      </c>
      <c r="J352" t="b">
        <v>0</v>
      </c>
      <c r="L352">
        <v>34</v>
      </c>
      <c r="M352">
        <v>10</v>
      </c>
      <c r="N352" t="s">
        <v>1107</v>
      </c>
      <c r="O352">
        <v>74.2</v>
      </c>
      <c r="P352">
        <v>7.81</v>
      </c>
      <c r="Q352" t="s">
        <v>1110</v>
      </c>
    </row>
    <row r="353" spans="1:17">
      <c r="A353" s="2">
        <v>45882</v>
      </c>
      <c r="B353">
        <v>2</v>
      </c>
      <c r="C353">
        <v>12</v>
      </c>
      <c r="D353" t="s">
        <v>21</v>
      </c>
      <c r="E353" t="s">
        <v>60</v>
      </c>
      <c r="F353" t="s">
        <v>499</v>
      </c>
      <c r="G353">
        <v>5</v>
      </c>
      <c r="H353">
        <v>4</v>
      </c>
      <c r="I353">
        <v>5</v>
      </c>
      <c r="J353" t="b">
        <v>0</v>
      </c>
      <c r="L353">
        <v>34</v>
      </c>
      <c r="M353">
        <v>7.9</v>
      </c>
      <c r="N353" t="s">
        <v>1107</v>
      </c>
      <c r="O353">
        <v>70</v>
      </c>
      <c r="P353">
        <v>6.9</v>
      </c>
      <c r="Q353" t="s">
        <v>1112</v>
      </c>
    </row>
    <row r="354" spans="1:17">
      <c r="A354" s="2">
        <v>45882</v>
      </c>
      <c r="B354">
        <v>2</v>
      </c>
      <c r="C354">
        <v>13</v>
      </c>
      <c r="D354" t="s">
        <v>22</v>
      </c>
      <c r="E354" t="s">
        <v>61</v>
      </c>
      <c r="F354" t="s">
        <v>500</v>
      </c>
      <c r="G354">
        <v>2</v>
      </c>
      <c r="H354">
        <v>0</v>
      </c>
      <c r="I354">
        <v>7</v>
      </c>
      <c r="J354" t="b">
        <v>0</v>
      </c>
      <c r="L354">
        <v>34</v>
      </c>
      <c r="N354" t="s">
        <v>1107</v>
      </c>
      <c r="O354">
        <v>73.400000000000006</v>
      </c>
      <c r="P354">
        <v>7.88</v>
      </c>
      <c r="Q354" t="s">
        <v>1110</v>
      </c>
    </row>
    <row r="355" spans="1:17">
      <c r="A355" s="2">
        <v>45882</v>
      </c>
      <c r="B355">
        <v>2</v>
      </c>
      <c r="C355">
        <v>14</v>
      </c>
      <c r="D355" t="s">
        <v>23</v>
      </c>
      <c r="E355" t="s">
        <v>62</v>
      </c>
      <c r="F355" t="s">
        <v>501</v>
      </c>
      <c r="G355">
        <v>2</v>
      </c>
      <c r="H355">
        <v>3</v>
      </c>
      <c r="I355">
        <v>6</v>
      </c>
      <c r="J355" t="b">
        <v>0</v>
      </c>
      <c r="L355">
        <v>34</v>
      </c>
      <c r="M355">
        <v>8.5</v>
      </c>
      <c r="N355" t="s">
        <v>1107</v>
      </c>
      <c r="O355">
        <v>79.2</v>
      </c>
      <c r="P355">
        <v>6.94</v>
      </c>
      <c r="Q355" t="s">
        <v>1110</v>
      </c>
    </row>
    <row r="356" spans="1:17">
      <c r="A356" s="2">
        <v>45882</v>
      </c>
      <c r="B356">
        <v>2</v>
      </c>
      <c r="C356">
        <v>15</v>
      </c>
      <c r="D356" t="s">
        <v>24</v>
      </c>
      <c r="E356" t="s">
        <v>63</v>
      </c>
      <c r="F356" t="s">
        <v>502</v>
      </c>
      <c r="G356">
        <v>2</v>
      </c>
      <c r="H356">
        <v>4</v>
      </c>
      <c r="I356">
        <v>4</v>
      </c>
      <c r="J356" t="b">
        <v>0</v>
      </c>
      <c r="L356">
        <v>34</v>
      </c>
      <c r="M356">
        <v>7.3</v>
      </c>
      <c r="N356" t="s">
        <v>1107</v>
      </c>
      <c r="O356">
        <v>69.599999999999994</v>
      </c>
      <c r="P356">
        <v>5.57</v>
      </c>
      <c r="Q356" t="s">
        <v>1110</v>
      </c>
    </row>
    <row r="357" spans="1:17">
      <c r="A357" s="2">
        <v>45882</v>
      </c>
      <c r="B357">
        <v>2</v>
      </c>
      <c r="C357">
        <v>16</v>
      </c>
      <c r="D357" t="s">
        <v>1273</v>
      </c>
      <c r="E357" t="s">
        <v>64</v>
      </c>
      <c r="F357" t="s">
        <v>64</v>
      </c>
      <c r="G357">
        <v>5</v>
      </c>
      <c r="H357">
        <v>2</v>
      </c>
      <c r="I357">
        <v>7</v>
      </c>
      <c r="J357" t="b">
        <v>0</v>
      </c>
      <c r="L357">
        <v>34</v>
      </c>
      <c r="M357">
        <v>10</v>
      </c>
      <c r="N357" t="s">
        <v>1107</v>
      </c>
      <c r="O357">
        <v>75.8</v>
      </c>
      <c r="P357">
        <v>6.08</v>
      </c>
      <c r="Q357" t="s">
        <v>1110</v>
      </c>
    </row>
    <row r="358" spans="1:17">
      <c r="A358" s="2">
        <v>45882</v>
      </c>
      <c r="B358">
        <v>2</v>
      </c>
      <c r="C358">
        <v>17</v>
      </c>
      <c r="D358" t="s">
        <v>25</v>
      </c>
      <c r="E358" t="s">
        <v>65</v>
      </c>
      <c r="F358" t="s">
        <v>503</v>
      </c>
      <c r="G358">
        <v>4</v>
      </c>
      <c r="H358">
        <v>4</v>
      </c>
      <c r="I358">
        <v>7</v>
      </c>
      <c r="J358" t="b">
        <v>0</v>
      </c>
      <c r="K358" t="s">
        <v>1104</v>
      </c>
      <c r="L358">
        <v>34</v>
      </c>
      <c r="N358" t="s">
        <v>1107</v>
      </c>
      <c r="O358">
        <v>78.400000000000006</v>
      </c>
      <c r="P358">
        <v>5.42</v>
      </c>
      <c r="Q358" t="s">
        <v>1110</v>
      </c>
    </row>
    <row r="359" spans="1:17">
      <c r="A359" s="2">
        <v>45882</v>
      </c>
      <c r="B359">
        <v>2</v>
      </c>
      <c r="C359">
        <v>18</v>
      </c>
      <c r="D359" t="s">
        <v>26</v>
      </c>
      <c r="E359" t="s">
        <v>66</v>
      </c>
      <c r="F359" t="s">
        <v>504</v>
      </c>
      <c r="G359">
        <v>1</v>
      </c>
      <c r="H359">
        <v>3</v>
      </c>
      <c r="I359">
        <v>5</v>
      </c>
      <c r="J359" t="b">
        <v>0</v>
      </c>
      <c r="K359" t="s">
        <v>1104</v>
      </c>
      <c r="L359">
        <v>34</v>
      </c>
      <c r="M359">
        <v>5.2</v>
      </c>
      <c r="N359" t="s">
        <v>1107</v>
      </c>
      <c r="O359">
        <v>74.8</v>
      </c>
      <c r="P359">
        <v>6.47</v>
      </c>
      <c r="Q359" t="s">
        <v>1110</v>
      </c>
    </row>
    <row r="360" spans="1:17">
      <c r="A360" s="2">
        <v>45882</v>
      </c>
      <c r="B360">
        <v>2</v>
      </c>
      <c r="C360">
        <v>19</v>
      </c>
      <c r="D360" t="s">
        <v>27</v>
      </c>
      <c r="E360" t="s">
        <v>67</v>
      </c>
      <c r="F360" t="s">
        <v>505</v>
      </c>
      <c r="G360">
        <v>2</v>
      </c>
      <c r="H360">
        <v>3</v>
      </c>
      <c r="I360">
        <v>4</v>
      </c>
      <c r="J360" t="b">
        <v>0</v>
      </c>
      <c r="K360" t="s">
        <v>1104</v>
      </c>
      <c r="L360">
        <v>34</v>
      </c>
      <c r="M360">
        <v>5.0999999999999996</v>
      </c>
      <c r="N360" t="s">
        <v>1107</v>
      </c>
      <c r="O360">
        <v>67.7</v>
      </c>
      <c r="P360">
        <v>6.6</v>
      </c>
      <c r="Q360" t="s">
        <v>1111</v>
      </c>
    </row>
    <row r="361" spans="1:17">
      <c r="A361" s="2">
        <v>45882</v>
      </c>
      <c r="B361">
        <v>2</v>
      </c>
      <c r="C361">
        <v>20</v>
      </c>
      <c r="D361" t="s">
        <v>28</v>
      </c>
      <c r="E361" t="s">
        <v>68</v>
      </c>
      <c r="F361" t="s">
        <v>506</v>
      </c>
      <c r="G361">
        <v>3</v>
      </c>
      <c r="H361">
        <v>4</v>
      </c>
      <c r="I361">
        <v>3</v>
      </c>
      <c r="J361" t="b">
        <v>0</v>
      </c>
      <c r="K361" t="s">
        <v>1104</v>
      </c>
      <c r="L361">
        <v>34</v>
      </c>
      <c r="M361">
        <v>5.2</v>
      </c>
      <c r="N361" t="s">
        <v>1107</v>
      </c>
      <c r="O361">
        <v>84.9</v>
      </c>
      <c r="P361">
        <v>5.1100000000000003</v>
      </c>
      <c r="Q361" t="s">
        <v>1110</v>
      </c>
    </row>
    <row r="362" spans="1:17">
      <c r="A362" s="2">
        <v>45882</v>
      </c>
      <c r="B362">
        <v>3</v>
      </c>
      <c r="C362">
        <v>1</v>
      </c>
      <c r="D362" t="s">
        <v>17</v>
      </c>
      <c r="E362" t="s">
        <v>69</v>
      </c>
      <c r="F362" t="s">
        <v>507</v>
      </c>
      <c r="G362">
        <v>0</v>
      </c>
      <c r="H362">
        <v>0</v>
      </c>
      <c r="I362">
        <v>0</v>
      </c>
      <c r="J362" t="b">
        <v>0</v>
      </c>
      <c r="L362">
        <v>33</v>
      </c>
      <c r="N362" t="s">
        <v>1107</v>
      </c>
      <c r="O362">
        <v>61.1</v>
      </c>
      <c r="P362">
        <v>5.35</v>
      </c>
      <c r="Q362" t="s">
        <v>1111</v>
      </c>
    </row>
    <row r="363" spans="1:17">
      <c r="A363" s="2">
        <v>45882</v>
      </c>
      <c r="B363">
        <v>3</v>
      </c>
      <c r="C363">
        <v>2</v>
      </c>
      <c r="D363" t="s">
        <v>1269</v>
      </c>
      <c r="E363" t="s">
        <v>70</v>
      </c>
      <c r="F363" t="s">
        <v>508</v>
      </c>
      <c r="G363">
        <v>5</v>
      </c>
      <c r="H363">
        <v>0</v>
      </c>
      <c r="I363">
        <v>5</v>
      </c>
      <c r="J363" t="b">
        <v>0</v>
      </c>
      <c r="L363">
        <v>33</v>
      </c>
      <c r="N363" t="s">
        <v>1107</v>
      </c>
      <c r="O363">
        <v>71.5</v>
      </c>
      <c r="P363">
        <v>7.03</v>
      </c>
      <c r="Q363" t="s">
        <v>1111</v>
      </c>
    </row>
    <row r="364" spans="1:17">
      <c r="A364" s="2">
        <v>45882</v>
      </c>
      <c r="B364">
        <v>3</v>
      </c>
      <c r="C364">
        <v>3</v>
      </c>
      <c r="D364" t="s">
        <v>18</v>
      </c>
      <c r="E364" t="s">
        <v>71</v>
      </c>
      <c r="F364" t="s">
        <v>509</v>
      </c>
      <c r="G364">
        <v>1</v>
      </c>
      <c r="H364">
        <v>3</v>
      </c>
      <c r="I364">
        <v>3</v>
      </c>
      <c r="J364" t="b">
        <v>0</v>
      </c>
      <c r="L364">
        <v>33</v>
      </c>
      <c r="M364">
        <v>10</v>
      </c>
      <c r="N364" t="s">
        <v>1107</v>
      </c>
      <c r="O364">
        <v>74.5</v>
      </c>
      <c r="P364">
        <v>7.77</v>
      </c>
      <c r="Q364" t="s">
        <v>1110</v>
      </c>
    </row>
    <row r="365" spans="1:17">
      <c r="A365" s="2">
        <v>45882</v>
      </c>
      <c r="B365">
        <v>3</v>
      </c>
      <c r="C365">
        <v>4</v>
      </c>
      <c r="D365" t="s">
        <v>19</v>
      </c>
      <c r="E365" t="s">
        <v>72</v>
      </c>
      <c r="F365" t="s">
        <v>510</v>
      </c>
      <c r="G365">
        <v>0</v>
      </c>
      <c r="H365">
        <v>3</v>
      </c>
      <c r="I365">
        <v>0</v>
      </c>
      <c r="J365" t="b">
        <v>0</v>
      </c>
      <c r="L365">
        <v>33</v>
      </c>
      <c r="M365">
        <v>9.9</v>
      </c>
      <c r="N365" t="s">
        <v>1107</v>
      </c>
      <c r="O365">
        <v>76.3</v>
      </c>
      <c r="P365">
        <v>6.41</v>
      </c>
      <c r="Q365" t="s">
        <v>1111</v>
      </c>
    </row>
    <row r="366" spans="1:17">
      <c r="A366" s="2">
        <v>45882</v>
      </c>
      <c r="B366">
        <v>3</v>
      </c>
      <c r="C366">
        <v>5</v>
      </c>
      <c r="D366" t="s">
        <v>1115</v>
      </c>
      <c r="E366" t="s">
        <v>73</v>
      </c>
      <c r="F366" t="s">
        <v>511</v>
      </c>
      <c r="G366">
        <v>5</v>
      </c>
      <c r="H366">
        <v>0</v>
      </c>
      <c r="I366">
        <v>5</v>
      </c>
      <c r="J366" t="b">
        <v>0</v>
      </c>
      <c r="L366">
        <v>33</v>
      </c>
      <c r="N366" t="s">
        <v>1107</v>
      </c>
      <c r="O366">
        <v>77.5</v>
      </c>
      <c r="P366">
        <v>5.39</v>
      </c>
      <c r="Q366" t="s">
        <v>1110</v>
      </c>
    </row>
    <row r="367" spans="1:17">
      <c r="A367" s="2">
        <v>45882</v>
      </c>
      <c r="B367">
        <v>3</v>
      </c>
      <c r="C367">
        <v>6</v>
      </c>
      <c r="D367" t="s">
        <v>1270</v>
      </c>
      <c r="E367" t="s">
        <v>74</v>
      </c>
      <c r="F367" t="s">
        <v>512</v>
      </c>
      <c r="G367">
        <v>3</v>
      </c>
      <c r="H367">
        <v>3</v>
      </c>
      <c r="I367">
        <v>5</v>
      </c>
      <c r="J367" t="b">
        <v>0</v>
      </c>
      <c r="L367">
        <v>33</v>
      </c>
      <c r="M367">
        <v>9.8000000000000007</v>
      </c>
      <c r="N367" t="s">
        <v>1107</v>
      </c>
      <c r="O367">
        <v>67.7</v>
      </c>
      <c r="P367">
        <v>7.38</v>
      </c>
      <c r="Q367" t="s">
        <v>1110</v>
      </c>
    </row>
    <row r="368" spans="1:17">
      <c r="A368" s="2">
        <v>45882</v>
      </c>
      <c r="B368">
        <v>3</v>
      </c>
      <c r="C368">
        <v>7</v>
      </c>
      <c r="D368" t="s">
        <v>1114</v>
      </c>
      <c r="E368" t="s">
        <v>75</v>
      </c>
      <c r="F368" t="s">
        <v>513</v>
      </c>
      <c r="G368">
        <v>1</v>
      </c>
      <c r="H368">
        <v>5</v>
      </c>
      <c r="I368">
        <v>1</v>
      </c>
      <c r="J368" t="b">
        <v>0</v>
      </c>
      <c r="L368">
        <v>33</v>
      </c>
      <c r="M368">
        <v>9.1999999999999993</v>
      </c>
      <c r="N368" t="s">
        <v>1107</v>
      </c>
      <c r="O368">
        <v>74.8</v>
      </c>
      <c r="P368">
        <v>7.45</v>
      </c>
      <c r="Q368" t="s">
        <v>1110</v>
      </c>
    </row>
    <row r="369" spans="1:17">
      <c r="A369" s="2">
        <v>45882</v>
      </c>
      <c r="B369">
        <v>3</v>
      </c>
      <c r="C369">
        <v>8</v>
      </c>
      <c r="D369" t="s">
        <v>1271</v>
      </c>
      <c r="E369" t="s">
        <v>76</v>
      </c>
      <c r="F369" t="s">
        <v>76</v>
      </c>
      <c r="G369">
        <v>1</v>
      </c>
      <c r="H369">
        <v>0</v>
      </c>
      <c r="I369">
        <v>2</v>
      </c>
      <c r="J369" t="b">
        <v>0</v>
      </c>
      <c r="L369">
        <v>33</v>
      </c>
      <c r="N369" t="s">
        <v>1107</v>
      </c>
      <c r="O369">
        <v>80</v>
      </c>
      <c r="P369">
        <v>5.66</v>
      </c>
      <c r="Q369" t="s">
        <v>1111</v>
      </c>
    </row>
    <row r="370" spans="1:17">
      <c r="A370" s="2">
        <v>45882</v>
      </c>
      <c r="B370">
        <v>3</v>
      </c>
      <c r="C370">
        <v>9</v>
      </c>
      <c r="D370" t="s">
        <v>20</v>
      </c>
      <c r="E370" t="s">
        <v>77</v>
      </c>
      <c r="F370" t="s">
        <v>77</v>
      </c>
      <c r="G370">
        <v>2</v>
      </c>
      <c r="H370">
        <v>2</v>
      </c>
      <c r="I370">
        <v>2</v>
      </c>
      <c r="J370" t="b">
        <v>0</v>
      </c>
      <c r="L370">
        <v>33</v>
      </c>
      <c r="M370">
        <v>10</v>
      </c>
      <c r="N370" t="s">
        <v>1107</v>
      </c>
      <c r="O370">
        <v>80.3</v>
      </c>
      <c r="P370">
        <v>7.95</v>
      </c>
      <c r="Q370" t="s">
        <v>1110</v>
      </c>
    </row>
    <row r="371" spans="1:17">
      <c r="A371" s="2">
        <v>45882</v>
      </c>
      <c r="B371">
        <v>3</v>
      </c>
      <c r="C371">
        <v>10</v>
      </c>
      <c r="D371" t="s">
        <v>1113</v>
      </c>
      <c r="E371" t="s">
        <v>78</v>
      </c>
      <c r="F371" t="s">
        <v>514</v>
      </c>
      <c r="G371">
        <v>0</v>
      </c>
      <c r="H371">
        <v>1</v>
      </c>
      <c r="I371">
        <v>1</v>
      </c>
      <c r="J371" t="b">
        <v>0</v>
      </c>
      <c r="L371">
        <v>33</v>
      </c>
      <c r="M371">
        <v>9.3000000000000007</v>
      </c>
      <c r="N371" t="s">
        <v>1107</v>
      </c>
      <c r="O371">
        <v>84.4</v>
      </c>
      <c r="P371">
        <v>6.73</v>
      </c>
      <c r="Q371" t="s">
        <v>1110</v>
      </c>
    </row>
    <row r="372" spans="1:17">
      <c r="A372" s="2">
        <v>45882</v>
      </c>
      <c r="B372">
        <v>3</v>
      </c>
      <c r="C372">
        <v>11</v>
      </c>
      <c r="D372" t="s">
        <v>1272</v>
      </c>
      <c r="E372" t="s">
        <v>79</v>
      </c>
      <c r="F372" t="s">
        <v>515</v>
      </c>
      <c r="G372">
        <v>0</v>
      </c>
      <c r="H372">
        <v>1</v>
      </c>
      <c r="I372">
        <v>0</v>
      </c>
      <c r="J372" t="b">
        <v>0</v>
      </c>
      <c r="L372">
        <v>33</v>
      </c>
      <c r="M372">
        <v>10</v>
      </c>
      <c r="N372" t="s">
        <v>1107</v>
      </c>
      <c r="O372">
        <v>79.8</v>
      </c>
      <c r="P372">
        <v>7.29</v>
      </c>
      <c r="Q372" t="s">
        <v>1110</v>
      </c>
    </row>
    <row r="373" spans="1:17">
      <c r="A373" s="2">
        <v>45882</v>
      </c>
      <c r="B373">
        <v>3</v>
      </c>
      <c r="C373">
        <v>12</v>
      </c>
      <c r="D373" t="s">
        <v>21</v>
      </c>
      <c r="E373" t="s">
        <v>80</v>
      </c>
      <c r="F373" t="s">
        <v>516</v>
      </c>
      <c r="G373">
        <v>5</v>
      </c>
      <c r="H373">
        <v>0</v>
      </c>
      <c r="I373">
        <v>5</v>
      </c>
      <c r="J373" t="b">
        <v>0</v>
      </c>
      <c r="L373">
        <v>33</v>
      </c>
      <c r="N373" t="s">
        <v>1107</v>
      </c>
      <c r="O373">
        <v>63</v>
      </c>
      <c r="P373">
        <v>5.42</v>
      </c>
      <c r="Q373" t="s">
        <v>1110</v>
      </c>
    </row>
    <row r="374" spans="1:17">
      <c r="A374" s="2">
        <v>45882</v>
      </c>
      <c r="B374">
        <v>3</v>
      </c>
      <c r="C374">
        <v>13</v>
      </c>
      <c r="D374" t="s">
        <v>22</v>
      </c>
      <c r="E374" t="s">
        <v>81</v>
      </c>
      <c r="F374" t="s">
        <v>517</v>
      </c>
      <c r="G374">
        <v>3</v>
      </c>
      <c r="H374">
        <v>0</v>
      </c>
      <c r="I374">
        <v>8</v>
      </c>
      <c r="J374" t="b">
        <v>0</v>
      </c>
      <c r="L374">
        <v>33</v>
      </c>
      <c r="N374" t="s">
        <v>1107</v>
      </c>
      <c r="O374">
        <v>73.8</v>
      </c>
      <c r="P374">
        <v>6.32</v>
      </c>
      <c r="Q374" t="s">
        <v>1111</v>
      </c>
    </row>
    <row r="375" spans="1:17">
      <c r="A375" s="2">
        <v>45882</v>
      </c>
      <c r="B375">
        <v>3</v>
      </c>
      <c r="C375">
        <v>14</v>
      </c>
      <c r="D375" t="s">
        <v>23</v>
      </c>
      <c r="E375" t="s">
        <v>82</v>
      </c>
      <c r="F375" t="s">
        <v>518</v>
      </c>
      <c r="G375">
        <v>5</v>
      </c>
      <c r="H375">
        <v>2</v>
      </c>
      <c r="I375">
        <v>11</v>
      </c>
      <c r="J375" t="b">
        <v>0</v>
      </c>
      <c r="L375">
        <v>33</v>
      </c>
      <c r="M375">
        <v>10</v>
      </c>
      <c r="N375" t="s">
        <v>1107</v>
      </c>
      <c r="O375">
        <v>62.5</v>
      </c>
      <c r="P375">
        <v>7.54</v>
      </c>
      <c r="Q375" t="s">
        <v>1110</v>
      </c>
    </row>
    <row r="376" spans="1:17">
      <c r="A376" s="2">
        <v>45882</v>
      </c>
      <c r="B376">
        <v>3</v>
      </c>
      <c r="C376">
        <v>15</v>
      </c>
      <c r="D376" t="s">
        <v>24</v>
      </c>
      <c r="E376" t="s">
        <v>83</v>
      </c>
      <c r="F376" t="s">
        <v>519</v>
      </c>
      <c r="G376">
        <v>10</v>
      </c>
      <c r="H376">
        <v>3</v>
      </c>
      <c r="I376">
        <v>18</v>
      </c>
      <c r="J376" t="b">
        <v>0</v>
      </c>
      <c r="L376">
        <v>33</v>
      </c>
      <c r="M376">
        <v>9.6999999999999993</v>
      </c>
      <c r="N376" t="s">
        <v>1107</v>
      </c>
      <c r="O376">
        <v>60.4</v>
      </c>
      <c r="P376">
        <v>6.46</v>
      </c>
      <c r="Q376" t="s">
        <v>1110</v>
      </c>
    </row>
    <row r="377" spans="1:17">
      <c r="A377" s="2">
        <v>45882</v>
      </c>
      <c r="B377">
        <v>3</v>
      </c>
      <c r="C377">
        <v>16</v>
      </c>
      <c r="D377" t="s">
        <v>1273</v>
      </c>
      <c r="E377" t="s">
        <v>84</v>
      </c>
      <c r="F377" t="s">
        <v>520</v>
      </c>
      <c r="G377">
        <v>10</v>
      </c>
      <c r="H377">
        <v>2</v>
      </c>
      <c r="I377">
        <v>26</v>
      </c>
      <c r="J377" t="b">
        <v>0</v>
      </c>
      <c r="L377">
        <v>33</v>
      </c>
      <c r="M377">
        <v>10</v>
      </c>
      <c r="N377" t="s">
        <v>1107</v>
      </c>
      <c r="O377">
        <v>62.2</v>
      </c>
      <c r="P377">
        <v>6.96</v>
      </c>
      <c r="Q377" t="s">
        <v>1111</v>
      </c>
    </row>
    <row r="378" spans="1:17">
      <c r="A378" s="2">
        <v>45882</v>
      </c>
      <c r="B378">
        <v>3</v>
      </c>
      <c r="C378">
        <v>17</v>
      </c>
      <c r="D378" t="s">
        <v>25</v>
      </c>
      <c r="E378" t="s">
        <v>85</v>
      </c>
      <c r="F378" t="s">
        <v>521</v>
      </c>
      <c r="G378">
        <v>5</v>
      </c>
      <c r="H378">
        <v>3</v>
      </c>
      <c r="I378">
        <v>28</v>
      </c>
      <c r="J378" t="b">
        <v>0</v>
      </c>
      <c r="K378" t="s">
        <v>1104</v>
      </c>
      <c r="L378">
        <v>33</v>
      </c>
      <c r="M378">
        <v>5.9</v>
      </c>
      <c r="N378" t="s">
        <v>1107</v>
      </c>
      <c r="O378">
        <v>80.2</v>
      </c>
      <c r="P378">
        <v>7.32</v>
      </c>
      <c r="Q378" t="s">
        <v>1110</v>
      </c>
    </row>
    <row r="379" spans="1:17">
      <c r="A379" s="2">
        <v>45882</v>
      </c>
      <c r="B379">
        <v>3</v>
      </c>
      <c r="C379">
        <v>18</v>
      </c>
      <c r="D379" t="s">
        <v>26</v>
      </c>
      <c r="E379" t="s">
        <v>86</v>
      </c>
      <c r="F379" t="s">
        <v>522</v>
      </c>
      <c r="G379">
        <v>8</v>
      </c>
      <c r="H379">
        <v>3</v>
      </c>
      <c r="I379">
        <v>33</v>
      </c>
      <c r="J379" t="b">
        <v>0</v>
      </c>
      <c r="K379" t="s">
        <v>1104</v>
      </c>
      <c r="L379">
        <v>33</v>
      </c>
      <c r="N379" t="s">
        <v>1107</v>
      </c>
      <c r="O379">
        <v>76</v>
      </c>
      <c r="P379">
        <v>6.57</v>
      </c>
      <c r="Q379" t="s">
        <v>1110</v>
      </c>
    </row>
    <row r="380" spans="1:17">
      <c r="A380" s="2">
        <v>45882</v>
      </c>
      <c r="B380">
        <v>3</v>
      </c>
      <c r="C380">
        <v>19</v>
      </c>
      <c r="D380" t="s">
        <v>27</v>
      </c>
      <c r="E380" t="s">
        <v>87</v>
      </c>
      <c r="F380" t="s">
        <v>523</v>
      </c>
      <c r="G380">
        <v>3</v>
      </c>
      <c r="H380">
        <v>0</v>
      </c>
      <c r="I380">
        <v>36</v>
      </c>
      <c r="J380" t="b">
        <v>0</v>
      </c>
      <c r="K380" t="s">
        <v>1104</v>
      </c>
      <c r="L380">
        <v>33</v>
      </c>
      <c r="N380" t="s">
        <v>1108</v>
      </c>
      <c r="O380">
        <v>75.3</v>
      </c>
      <c r="P380">
        <v>5.1100000000000003</v>
      </c>
      <c r="Q380" t="s">
        <v>1110</v>
      </c>
    </row>
    <row r="381" spans="1:17">
      <c r="A381" s="2">
        <v>45882</v>
      </c>
      <c r="B381">
        <v>3</v>
      </c>
      <c r="C381">
        <v>20</v>
      </c>
      <c r="D381" t="s">
        <v>28</v>
      </c>
      <c r="E381" t="s">
        <v>88</v>
      </c>
      <c r="F381" t="s">
        <v>524</v>
      </c>
      <c r="G381">
        <v>3</v>
      </c>
      <c r="H381">
        <v>2</v>
      </c>
      <c r="I381">
        <v>37</v>
      </c>
      <c r="J381" t="b">
        <v>0</v>
      </c>
      <c r="K381" t="s">
        <v>1104</v>
      </c>
      <c r="L381">
        <v>33</v>
      </c>
      <c r="M381">
        <v>5.9</v>
      </c>
      <c r="N381" t="s">
        <v>1107</v>
      </c>
      <c r="O381">
        <v>83.8</v>
      </c>
      <c r="P381">
        <v>6.88</v>
      </c>
      <c r="Q381" t="s">
        <v>1110</v>
      </c>
    </row>
    <row r="382" spans="1:17">
      <c r="A382" s="2">
        <v>45882</v>
      </c>
      <c r="B382">
        <v>4</v>
      </c>
      <c r="C382">
        <v>1</v>
      </c>
      <c r="D382" t="s">
        <v>17</v>
      </c>
      <c r="E382" t="s">
        <v>89</v>
      </c>
      <c r="F382" t="s">
        <v>525</v>
      </c>
      <c r="G382">
        <v>0</v>
      </c>
      <c r="H382">
        <v>0</v>
      </c>
      <c r="I382">
        <v>0</v>
      </c>
      <c r="J382" t="b">
        <v>0</v>
      </c>
      <c r="L382">
        <v>34</v>
      </c>
      <c r="N382" t="s">
        <v>1107</v>
      </c>
      <c r="O382">
        <v>60.1</v>
      </c>
      <c r="P382">
        <v>5.71</v>
      </c>
      <c r="Q382" t="s">
        <v>1110</v>
      </c>
    </row>
    <row r="383" spans="1:17">
      <c r="A383" s="2">
        <v>45882</v>
      </c>
      <c r="B383">
        <v>4</v>
      </c>
      <c r="C383">
        <v>2</v>
      </c>
      <c r="D383" t="s">
        <v>1269</v>
      </c>
      <c r="E383" t="s">
        <v>90</v>
      </c>
      <c r="F383" t="s">
        <v>526</v>
      </c>
      <c r="G383">
        <v>10</v>
      </c>
      <c r="H383">
        <v>0</v>
      </c>
      <c r="I383">
        <v>10</v>
      </c>
      <c r="J383" t="b">
        <v>0</v>
      </c>
      <c r="L383">
        <v>34</v>
      </c>
      <c r="N383" t="s">
        <v>1107</v>
      </c>
      <c r="O383">
        <v>62.4</v>
      </c>
      <c r="P383">
        <v>6.09</v>
      </c>
      <c r="Q383" t="s">
        <v>1110</v>
      </c>
    </row>
    <row r="384" spans="1:17">
      <c r="A384" s="2">
        <v>45882</v>
      </c>
      <c r="B384">
        <v>4</v>
      </c>
      <c r="C384">
        <v>3</v>
      </c>
      <c r="D384" t="s">
        <v>18</v>
      </c>
      <c r="E384" t="s">
        <v>91</v>
      </c>
      <c r="F384" t="s">
        <v>527</v>
      </c>
      <c r="G384">
        <v>7</v>
      </c>
      <c r="H384">
        <v>0</v>
      </c>
      <c r="I384">
        <v>17</v>
      </c>
      <c r="J384" t="b">
        <v>0</v>
      </c>
      <c r="L384">
        <v>34</v>
      </c>
      <c r="N384" t="s">
        <v>1107</v>
      </c>
      <c r="O384">
        <v>65.5</v>
      </c>
      <c r="P384">
        <v>7.31</v>
      </c>
      <c r="Q384" t="s">
        <v>1110</v>
      </c>
    </row>
    <row r="385" spans="1:17">
      <c r="A385" s="2">
        <v>45882</v>
      </c>
      <c r="B385">
        <v>4</v>
      </c>
      <c r="C385">
        <v>4</v>
      </c>
      <c r="D385" t="s">
        <v>19</v>
      </c>
      <c r="E385" t="s">
        <v>92</v>
      </c>
      <c r="F385" t="s">
        <v>528</v>
      </c>
      <c r="G385">
        <v>0</v>
      </c>
      <c r="H385">
        <v>2</v>
      </c>
      <c r="I385">
        <v>15</v>
      </c>
      <c r="J385" t="b">
        <v>0</v>
      </c>
      <c r="L385">
        <v>34</v>
      </c>
      <c r="M385">
        <v>8.8000000000000007</v>
      </c>
      <c r="N385" t="s">
        <v>1107</v>
      </c>
      <c r="O385">
        <v>64.8</v>
      </c>
      <c r="P385">
        <v>7.39</v>
      </c>
      <c r="Q385" t="s">
        <v>1110</v>
      </c>
    </row>
    <row r="386" spans="1:17">
      <c r="A386" s="2">
        <v>45882</v>
      </c>
      <c r="B386">
        <v>4</v>
      </c>
      <c r="C386">
        <v>5</v>
      </c>
      <c r="D386" t="s">
        <v>1115</v>
      </c>
      <c r="E386" t="s">
        <v>93</v>
      </c>
      <c r="F386" t="s">
        <v>529</v>
      </c>
      <c r="G386">
        <v>4</v>
      </c>
      <c r="H386">
        <v>0</v>
      </c>
      <c r="I386">
        <v>19</v>
      </c>
      <c r="J386" t="b">
        <v>0</v>
      </c>
      <c r="L386">
        <v>34</v>
      </c>
      <c r="N386" t="s">
        <v>1109</v>
      </c>
      <c r="O386">
        <v>71.900000000000006</v>
      </c>
      <c r="P386">
        <v>5.53</v>
      </c>
      <c r="Q386" t="s">
        <v>1110</v>
      </c>
    </row>
    <row r="387" spans="1:17">
      <c r="A387" s="2">
        <v>45882</v>
      </c>
      <c r="B387">
        <v>4</v>
      </c>
      <c r="C387">
        <v>6</v>
      </c>
      <c r="D387" t="s">
        <v>1270</v>
      </c>
      <c r="E387" t="s">
        <v>94</v>
      </c>
      <c r="F387" t="s">
        <v>530</v>
      </c>
      <c r="G387">
        <v>2</v>
      </c>
      <c r="H387">
        <v>3</v>
      </c>
      <c r="I387">
        <v>18</v>
      </c>
      <c r="J387" t="b">
        <v>0</v>
      </c>
      <c r="L387">
        <v>34</v>
      </c>
      <c r="M387">
        <v>9.6</v>
      </c>
      <c r="N387" t="s">
        <v>1107</v>
      </c>
      <c r="O387">
        <v>76.099999999999994</v>
      </c>
      <c r="P387">
        <v>5.86</v>
      </c>
      <c r="Q387" t="s">
        <v>1110</v>
      </c>
    </row>
    <row r="388" spans="1:17">
      <c r="A388" s="2">
        <v>45882</v>
      </c>
      <c r="B388">
        <v>4</v>
      </c>
      <c r="C388">
        <v>7</v>
      </c>
      <c r="D388" t="s">
        <v>1114</v>
      </c>
      <c r="E388" t="s">
        <v>95</v>
      </c>
      <c r="F388" t="s">
        <v>531</v>
      </c>
      <c r="G388">
        <v>9</v>
      </c>
      <c r="H388">
        <v>3</v>
      </c>
      <c r="I388">
        <v>24</v>
      </c>
      <c r="J388" t="b">
        <v>0</v>
      </c>
      <c r="L388">
        <v>34</v>
      </c>
      <c r="M388">
        <v>8.8000000000000007</v>
      </c>
      <c r="N388" t="s">
        <v>1107</v>
      </c>
      <c r="O388">
        <v>80.099999999999994</v>
      </c>
      <c r="P388">
        <v>7.28</v>
      </c>
      <c r="Q388" t="s">
        <v>1110</v>
      </c>
    </row>
    <row r="389" spans="1:17">
      <c r="A389" s="2">
        <v>45882</v>
      </c>
      <c r="B389">
        <v>4</v>
      </c>
      <c r="C389">
        <v>8</v>
      </c>
      <c r="D389" t="s">
        <v>1271</v>
      </c>
      <c r="E389" t="s">
        <v>96</v>
      </c>
      <c r="F389" t="s">
        <v>532</v>
      </c>
      <c r="G389">
        <v>2</v>
      </c>
      <c r="H389">
        <v>1</v>
      </c>
      <c r="I389">
        <v>25</v>
      </c>
      <c r="J389" t="b">
        <v>0</v>
      </c>
      <c r="L389">
        <v>34</v>
      </c>
      <c r="M389">
        <v>9.1999999999999993</v>
      </c>
      <c r="N389" t="s">
        <v>1107</v>
      </c>
      <c r="O389">
        <v>83.1</v>
      </c>
      <c r="P389">
        <v>5.53</v>
      </c>
      <c r="Q389" t="s">
        <v>1110</v>
      </c>
    </row>
    <row r="390" spans="1:17">
      <c r="A390" s="2">
        <v>45882</v>
      </c>
      <c r="B390">
        <v>4</v>
      </c>
      <c r="C390">
        <v>9</v>
      </c>
      <c r="D390" t="s">
        <v>20</v>
      </c>
      <c r="E390" t="s">
        <v>97</v>
      </c>
      <c r="F390" t="s">
        <v>533</v>
      </c>
      <c r="G390">
        <v>6</v>
      </c>
      <c r="H390">
        <v>4</v>
      </c>
      <c r="I390">
        <v>27</v>
      </c>
      <c r="J390" t="b">
        <v>0</v>
      </c>
      <c r="L390">
        <v>34</v>
      </c>
      <c r="M390">
        <v>8.1</v>
      </c>
      <c r="N390" t="s">
        <v>1107</v>
      </c>
      <c r="O390">
        <v>62.9</v>
      </c>
      <c r="P390">
        <v>7.69</v>
      </c>
      <c r="Q390" t="s">
        <v>1110</v>
      </c>
    </row>
    <row r="391" spans="1:17">
      <c r="A391" s="2">
        <v>45882</v>
      </c>
      <c r="B391">
        <v>4</v>
      </c>
      <c r="C391">
        <v>10</v>
      </c>
      <c r="D391" t="s">
        <v>1113</v>
      </c>
      <c r="E391" t="s">
        <v>98</v>
      </c>
      <c r="F391" t="s">
        <v>534</v>
      </c>
      <c r="G391">
        <v>7</v>
      </c>
      <c r="H391">
        <v>1</v>
      </c>
      <c r="I391">
        <v>33</v>
      </c>
      <c r="J391" t="b">
        <v>0</v>
      </c>
      <c r="L391">
        <v>34</v>
      </c>
      <c r="M391">
        <v>9.5</v>
      </c>
      <c r="N391" t="s">
        <v>1107</v>
      </c>
      <c r="O391">
        <v>68.099999999999994</v>
      </c>
      <c r="P391">
        <v>5.6</v>
      </c>
      <c r="Q391" t="s">
        <v>1110</v>
      </c>
    </row>
    <row r="392" spans="1:17">
      <c r="A392" s="2">
        <v>45882</v>
      </c>
      <c r="B392">
        <v>4</v>
      </c>
      <c r="C392">
        <v>11</v>
      </c>
      <c r="D392" t="s">
        <v>1272</v>
      </c>
      <c r="E392" t="s">
        <v>99</v>
      </c>
      <c r="F392" t="s">
        <v>387</v>
      </c>
      <c r="G392">
        <v>1</v>
      </c>
      <c r="H392">
        <v>1</v>
      </c>
      <c r="I392">
        <v>33</v>
      </c>
      <c r="J392" t="b">
        <v>0</v>
      </c>
      <c r="L392">
        <v>34</v>
      </c>
      <c r="N392" t="s">
        <v>1107</v>
      </c>
      <c r="O392">
        <v>79.5</v>
      </c>
      <c r="P392">
        <v>5.98</v>
      </c>
      <c r="Q392" t="s">
        <v>1110</v>
      </c>
    </row>
    <row r="393" spans="1:17">
      <c r="A393" s="2">
        <v>45882</v>
      </c>
      <c r="B393">
        <v>4</v>
      </c>
      <c r="C393">
        <v>12</v>
      </c>
      <c r="D393" t="s">
        <v>21</v>
      </c>
      <c r="E393" t="s">
        <v>100</v>
      </c>
      <c r="F393" t="s">
        <v>100</v>
      </c>
      <c r="G393">
        <v>3</v>
      </c>
      <c r="H393">
        <v>2</v>
      </c>
      <c r="I393">
        <v>34</v>
      </c>
      <c r="J393" t="b">
        <v>0</v>
      </c>
      <c r="L393">
        <v>34</v>
      </c>
      <c r="M393">
        <v>10</v>
      </c>
      <c r="N393" t="s">
        <v>1107</v>
      </c>
      <c r="O393">
        <v>81.7</v>
      </c>
      <c r="P393">
        <v>6.13</v>
      </c>
      <c r="Q393" t="s">
        <v>1110</v>
      </c>
    </row>
    <row r="394" spans="1:17">
      <c r="A394" s="2">
        <v>45882</v>
      </c>
      <c r="B394">
        <v>4</v>
      </c>
      <c r="C394">
        <v>13</v>
      </c>
      <c r="D394" t="s">
        <v>22</v>
      </c>
      <c r="E394" t="s">
        <v>101</v>
      </c>
      <c r="F394" t="s">
        <v>535</v>
      </c>
      <c r="G394">
        <v>3</v>
      </c>
      <c r="H394">
        <v>0</v>
      </c>
      <c r="I394">
        <v>37</v>
      </c>
      <c r="J394" t="b">
        <v>0</v>
      </c>
      <c r="L394">
        <v>34</v>
      </c>
      <c r="N394" t="s">
        <v>1107</v>
      </c>
      <c r="O394">
        <v>72.099999999999994</v>
      </c>
      <c r="P394">
        <v>7.67</v>
      </c>
      <c r="Q394" t="s">
        <v>1110</v>
      </c>
    </row>
    <row r="395" spans="1:17">
      <c r="A395" s="2">
        <v>45882</v>
      </c>
      <c r="B395">
        <v>4</v>
      </c>
      <c r="C395">
        <v>14</v>
      </c>
      <c r="D395" t="s">
        <v>23</v>
      </c>
      <c r="E395" t="s">
        <v>102</v>
      </c>
      <c r="F395" t="s">
        <v>536</v>
      </c>
      <c r="G395">
        <v>4</v>
      </c>
      <c r="H395">
        <v>5</v>
      </c>
      <c r="I395">
        <v>36</v>
      </c>
      <c r="J395" t="b">
        <v>0</v>
      </c>
      <c r="L395">
        <v>34</v>
      </c>
      <c r="M395">
        <v>9.8000000000000007</v>
      </c>
      <c r="N395" t="s">
        <v>1108</v>
      </c>
      <c r="O395">
        <v>71.400000000000006</v>
      </c>
      <c r="P395">
        <v>6.16</v>
      </c>
      <c r="Q395" t="s">
        <v>1110</v>
      </c>
    </row>
    <row r="396" spans="1:17">
      <c r="A396" s="2">
        <v>45882</v>
      </c>
      <c r="B396">
        <v>4</v>
      </c>
      <c r="C396">
        <v>15</v>
      </c>
      <c r="D396" t="s">
        <v>24</v>
      </c>
      <c r="E396" t="s">
        <v>103</v>
      </c>
      <c r="F396" t="s">
        <v>537</v>
      </c>
      <c r="G396">
        <v>2</v>
      </c>
      <c r="H396">
        <v>3</v>
      </c>
      <c r="I396">
        <v>35</v>
      </c>
      <c r="J396" t="b">
        <v>0</v>
      </c>
      <c r="L396">
        <v>34</v>
      </c>
      <c r="M396">
        <v>9.6999999999999993</v>
      </c>
      <c r="N396" t="s">
        <v>1107</v>
      </c>
      <c r="O396">
        <v>75.8</v>
      </c>
      <c r="P396">
        <v>7.93</v>
      </c>
      <c r="Q396" t="s">
        <v>1110</v>
      </c>
    </row>
    <row r="397" spans="1:17">
      <c r="A397" s="2">
        <v>45882</v>
      </c>
      <c r="B397">
        <v>4</v>
      </c>
      <c r="C397">
        <v>16</v>
      </c>
      <c r="D397" t="s">
        <v>1273</v>
      </c>
      <c r="E397" t="s">
        <v>104</v>
      </c>
      <c r="F397" t="s">
        <v>538</v>
      </c>
      <c r="G397">
        <v>5</v>
      </c>
      <c r="H397">
        <v>2</v>
      </c>
      <c r="I397">
        <v>38</v>
      </c>
      <c r="J397" t="b">
        <v>0</v>
      </c>
      <c r="L397">
        <v>34</v>
      </c>
      <c r="M397">
        <v>9.1999999999999993</v>
      </c>
      <c r="N397" t="s">
        <v>1107</v>
      </c>
      <c r="O397">
        <v>77.3</v>
      </c>
      <c r="P397">
        <v>5.18</v>
      </c>
      <c r="Q397" t="s">
        <v>1110</v>
      </c>
    </row>
    <row r="398" spans="1:17">
      <c r="A398" s="2">
        <v>45882</v>
      </c>
      <c r="B398">
        <v>4</v>
      </c>
      <c r="C398">
        <v>17</v>
      </c>
      <c r="D398" t="s">
        <v>25</v>
      </c>
      <c r="E398" t="s">
        <v>105</v>
      </c>
      <c r="F398" t="s">
        <v>539</v>
      </c>
      <c r="G398">
        <v>2</v>
      </c>
      <c r="H398">
        <v>5</v>
      </c>
      <c r="I398">
        <v>35</v>
      </c>
      <c r="J398" t="b">
        <v>0</v>
      </c>
      <c r="K398" t="s">
        <v>1104</v>
      </c>
      <c r="L398">
        <v>34</v>
      </c>
      <c r="M398">
        <v>5.2</v>
      </c>
      <c r="N398" t="s">
        <v>1107</v>
      </c>
      <c r="O398">
        <v>71.5</v>
      </c>
      <c r="P398">
        <v>5.51</v>
      </c>
      <c r="Q398" t="s">
        <v>1110</v>
      </c>
    </row>
    <row r="399" spans="1:17">
      <c r="A399" s="2">
        <v>45882</v>
      </c>
      <c r="B399">
        <v>4</v>
      </c>
      <c r="C399">
        <v>18</v>
      </c>
      <c r="D399" t="s">
        <v>26</v>
      </c>
      <c r="E399" t="s">
        <v>106</v>
      </c>
      <c r="F399" t="s">
        <v>540</v>
      </c>
      <c r="G399">
        <v>1</v>
      </c>
      <c r="H399">
        <v>2</v>
      </c>
      <c r="I399">
        <v>34</v>
      </c>
      <c r="J399" t="b">
        <v>0</v>
      </c>
      <c r="K399" t="s">
        <v>1104</v>
      </c>
      <c r="L399">
        <v>34</v>
      </c>
      <c r="M399">
        <v>5.4</v>
      </c>
      <c r="N399" t="s">
        <v>1107</v>
      </c>
      <c r="O399">
        <v>75.099999999999994</v>
      </c>
      <c r="P399">
        <v>7.37</v>
      </c>
      <c r="Q399" t="s">
        <v>1110</v>
      </c>
    </row>
    <row r="400" spans="1:17">
      <c r="A400" s="2">
        <v>45882</v>
      </c>
      <c r="B400">
        <v>4</v>
      </c>
      <c r="C400">
        <v>19</v>
      </c>
      <c r="D400" t="s">
        <v>27</v>
      </c>
      <c r="E400" t="s">
        <v>107</v>
      </c>
      <c r="F400" t="s">
        <v>541</v>
      </c>
      <c r="G400">
        <v>0</v>
      </c>
      <c r="H400">
        <v>3</v>
      </c>
      <c r="I400">
        <v>31</v>
      </c>
      <c r="J400" t="b">
        <v>0</v>
      </c>
      <c r="K400" t="s">
        <v>1104</v>
      </c>
      <c r="L400">
        <v>34</v>
      </c>
      <c r="M400">
        <v>5.2</v>
      </c>
      <c r="N400" t="s">
        <v>1107</v>
      </c>
      <c r="O400">
        <v>64.2</v>
      </c>
      <c r="P400">
        <v>7.91</v>
      </c>
      <c r="Q400" t="s">
        <v>1111</v>
      </c>
    </row>
    <row r="401" spans="1:17">
      <c r="A401" s="2">
        <v>45882</v>
      </c>
      <c r="B401">
        <v>4</v>
      </c>
      <c r="C401">
        <v>20</v>
      </c>
      <c r="D401" t="s">
        <v>28</v>
      </c>
      <c r="E401" t="s">
        <v>108</v>
      </c>
      <c r="F401" t="s">
        <v>542</v>
      </c>
      <c r="G401">
        <v>2</v>
      </c>
      <c r="H401">
        <v>4</v>
      </c>
      <c r="I401">
        <v>29</v>
      </c>
      <c r="J401" t="b">
        <v>0</v>
      </c>
      <c r="K401" t="s">
        <v>1104</v>
      </c>
      <c r="L401">
        <v>34</v>
      </c>
      <c r="M401">
        <v>5</v>
      </c>
      <c r="N401" t="s">
        <v>1107</v>
      </c>
      <c r="O401">
        <v>81.400000000000006</v>
      </c>
      <c r="P401">
        <v>6.47</v>
      </c>
      <c r="Q401" t="s">
        <v>1112</v>
      </c>
    </row>
    <row r="402" spans="1:17">
      <c r="A402" s="2">
        <v>45882</v>
      </c>
      <c r="B402">
        <v>5</v>
      </c>
      <c r="C402">
        <v>1</v>
      </c>
      <c r="D402" t="s">
        <v>17</v>
      </c>
      <c r="E402" t="s">
        <v>109</v>
      </c>
      <c r="F402" t="s">
        <v>543</v>
      </c>
      <c r="G402">
        <v>0</v>
      </c>
      <c r="H402">
        <v>0</v>
      </c>
      <c r="I402">
        <v>0</v>
      </c>
      <c r="J402" t="b">
        <v>0</v>
      </c>
      <c r="L402">
        <v>35</v>
      </c>
      <c r="N402" t="s">
        <v>1107</v>
      </c>
      <c r="O402">
        <v>80.900000000000006</v>
      </c>
      <c r="P402">
        <v>5.84</v>
      </c>
      <c r="Q402" t="s">
        <v>1110</v>
      </c>
    </row>
    <row r="403" spans="1:17">
      <c r="A403" s="2">
        <v>45882</v>
      </c>
      <c r="B403">
        <v>5</v>
      </c>
      <c r="C403">
        <v>2</v>
      </c>
      <c r="D403" t="s">
        <v>1269</v>
      </c>
      <c r="E403" t="s">
        <v>110</v>
      </c>
      <c r="F403" t="s">
        <v>544</v>
      </c>
      <c r="G403">
        <v>0</v>
      </c>
      <c r="H403">
        <v>0</v>
      </c>
      <c r="I403">
        <v>0</v>
      </c>
      <c r="J403" t="b">
        <v>0</v>
      </c>
      <c r="L403">
        <v>35</v>
      </c>
      <c r="N403" t="s">
        <v>1107</v>
      </c>
      <c r="O403">
        <v>66.2</v>
      </c>
      <c r="P403">
        <v>5.98</v>
      </c>
      <c r="Q403" t="s">
        <v>1110</v>
      </c>
    </row>
    <row r="404" spans="1:17">
      <c r="A404" s="2">
        <v>45882</v>
      </c>
      <c r="B404">
        <v>5</v>
      </c>
      <c r="C404">
        <v>3</v>
      </c>
      <c r="D404" t="s">
        <v>18</v>
      </c>
      <c r="E404" t="s">
        <v>111</v>
      </c>
      <c r="F404" t="s">
        <v>545</v>
      </c>
      <c r="G404">
        <v>2</v>
      </c>
      <c r="H404">
        <v>0</v>
      </c>
      <c r="I404">
        <v>2</v>
      </c>
      <c r="J404" t="b">
        <v>0</v>
      </c>
      <c r="L404">
        <v>35</v>
      </c>
      <c r="N404" t="s">
        <v>1107</v>
      </c>
      <c r="O404">
        <v>74.8</v>
      </c>
      <c r="P404">
        <v>5.45</v>
      </c>
      <c r="Q404" t="s">
        <v>1110</v>
      </c>
    </row>
    <row r="405" spans="1:17">
      <c r="A405" s="2">
        <v>45882</v>
      </c>
      <c r="B405">
        <v>5</v>
      </c>
      <c r="C405">
        <v>4</v>
      </c>
      <c r="D405" t="s">
        <v>19</v>
      </c>
      <c r="E405" t="s">
        <v>112</v>
      </c>
      <c r="F405" t="s">
        <v>546</v>
      </c>
      <c r="G405">
        <v>5</v>
      </c>
      <c r="H405">
        <v>2</v>
      </c>
      <c r="I405">
        <v>5</v>
      </c>
      <c r="J405" t="b">
        <v>0</v>
      </c>
      <c r="L405">
        <v>35</v>
      </c>
      <c r="M405">
        <v>5.9</v>
      </c>
      <c r="N405" t="s">
        <v>1107</v>
      </c>
      <c r="O405">
        <v>84.5</v>
      </c>
      <c r="P405">
        <v>5.12</v>
      </c>
      <c r="Q405" t="s">
        <v>1110</v>
      </c>
    </row>
    <row r="406" spans="1:17">
      <c r="A406" s="2">
        <v>45882</v>
      </c>
      <c r="B406">
        <v>5</v>
      </c>
      <c r="C406">
        <v>5</v>
      </c>
      <c r="D406" t="s">
        <v>1115</v>
      </c>
      <c r="E406" t="s">
        <v>113</v>
      </c>
      <c r="F406" t="s">
        <v>547</v>
      </c>
      <c r="G406">
        <v>5</v>
      </c>
      <c r="H406">
        <v>4</v>
      </c>
      <c r="I406">
        <v>6</v>
      </c>
      <c r="J406" t="b">
        <v>0</v>
      </c>
      <c r="L406">
        <v>35</v>
      </c>
      <c r="M406">
        <v>6</v>
      </c>
      <c r="N406" t="s">
        <v>1107</v>
      </c>
      <c r="O406">
        <v>60.8</v>
      </c>
      <c r="P406">
        <v>6.59</v>
      </c>
      <c r="Q406" t="s">
        <v>1110</v>
      </c>
    </row>
    <row r="407" spans="1:17">
      <c r="A407" s="2">
        <v>45882</v>
      </c>
      <c r="B407">
        <v>5</v>
      </c>
      <c r="C407">
        <v>6</v>
      </c>
      <c r="D407" t="s">
        <v>1270</v>
      </c>
      <c r="E407" t="s">
        <v>114</v>
      </c>
      <c r="F407" t="s">
        <v>114</v>
      </c>
      <c r="G407">
        <v>1</v>
      </c>
      <c r="H407">
        <v>2</v>
      </c>
      <c r="I407">
        <v>5</v>
      </c>
      <c r="J407" t="b">
        <v>0</v>
      </c>
      <c r="L407">
        <v>35</v>
      </c>
      <c r="M407">
        <v>8.1</v>
      </c>
      <c r="N407" t="s">
        <v>1107</v>
      </c>
      <c r="O407">
        <v>80.5</v>
      </c>
      <c r="P407">
        <v>6.36</v>
      </c>
      <c r="Q407" t="s">
        <v>1110</v>
      </c>
    </row>
    <row r="408" spans="1:17">
      <c r="A408" s="2">
        <v>45882</v>
      </c>
      <c r="B408">
        <v>5</v>
      </c>
      <c r="C408">
        <v>7</v>
      </c>
      <c r="D408" t="s">
        <v>1114</v>
      </c>
      <c r="E408" t="s">
        <v>115</v>
      </c>
      <c r="F408" t="s">
        <v>548</v>
      </c>
      <c r="G408">
        <v>1</v>
      </c>
      <c r="H408">
        <v>2</v>
      </c>
      <c r="I408">
        <v>4</v>
      </c>
      <c r="J408" t="b">
        <v>0</v>
      </c>
      <c r="L408">
        <v>35</v>
      </c>
      <c r="M408">
        <v>7.5</v>
      </c>
      <c r="N408" t="s">
        <v>1107</v>
      </c>
      <c r="O408">
        <v>60.3</v>
      </c>
      <c r="P408">
        <v>7.2</v>
      </c>
      <c r="Q408" t="s">
        <v>1111</v>
      </c>
    </row>
    <row r="409" spans="1:17">
      <c r="A409" s="2">
        <v>45882</v>
      </c>
      <c r="B409">
        <v>5</v>
      </c>
      <c r="C409">
        <v>8</v>
      </c>
      <c r="D409" t="s">
        <v>1271</v>
      </c>
      <c r="E409" t="s">
        <v>116</v>
      </c>
      <c r="F409" t="s">
        <v>116</v>
      </c>
      <c r="G409">
        <v>2</v>
      </c>
      <c r="H409">
        <v>4</v>
      </c>
      <c r="I409">
        <v>2</v>
      </c>
      <c r="J409" t="b">
        <v>0</v>
      </c>
      <c r="L409">
        <v>35</v>
      </c>
      <c r="M409">
        <v>8.1</v>
      </c>
      <c r="N409" t="s">
        <v>1107</v>
      </c>
      <c r="O409">
        <v>67.400000000000006</v>
      </c>
      <c r="P409">
        <v>6.94</v>
      </c>
      <c r="Q409" t="s">
        <v>1110</v>
      </c>
    </row>
    <row r="410" spans="1:17">
      <c r="A410" s="2">
        <v>45882</v>
      </c>
      <c r="B410">
        <v>5</v>
      </c>
      <c r="C410">
        <v>9</v>
      </c>
      <c r="D410" t="s">
        <v>20</v>
      </c>
      <c r="E410" t="s">
        <v>117</v>
      </c>
      <c r="F410" t="s">
        <v>549</v>
      </c>
      <c r="G410">
        <v>5</v>
      </c>
      <c r="H410">
        <v>2</v>
      </c>
      <c r="I410">
        <v>5</v>
      </c>
      <c r="J410" t="b">
        <v>0</v>
      </c>
      <c r="L410">
        <v>35</v>
      </c>
      <c r="M410">
        <v>7.7</v>
      </c>
      <c r="N410" t="s">
        <v>1107</v>
      </c>
      <c r="O410">
        <v>67.599999999999994</v>
      </c>
      <c r="P410">
        <v>7.11</v>
      </c>
      <c r="Q410" t="s">
        <v>1111</v>
      </c>
    </row>
    <row r="411" spans="1:17">
      <c r="A411" s="2">
        <v>45882</v>
      </c>
      <c r="B411">
        <v>5</v>
      </c>
      <c r="C411">
        <v>10</v>
      </c>
      <c r="D411" t="s">
        <v>1113</v>
      </c>
      <c r="E411" t="s">
        <v>118</v>
      </c>
      <c r="F411" t="s">
        <v>550</v>
      </c>
      <c r="G411">
        <v>5</v>
      </c>
      <c r="H411">
        <v>1</v>
      </c>
      <c r="I411">
        <v>9</v>
      </c>
      <c r="J411" t="b">
        <v>0</v>
      </c>
      <c r="L411">
        <v>35</v>
      </c>
      <c r="M411">
        <v>8</v>
      </c>
      <c r="N411" t="s">
        <v>1107</v>
      </c>
      <c r="O411">
        <v>60.6</v>
      </c>
      <c r="P411">
        <v>6.36</v>
      </c>
      <c r="Q411" t="s">
        <v>1110</v>
      </c>
    </row>
    <row r="412" spans="1:17">
      <c r="A412" s="2">
        <v>45882</v>
      </c>
      <c r="B412">
        <v>5</v>
      </c>
      <c r="C412">
        <v>11</v>
      </c>
      <c r="D412" t="s">
        <v>1272</v>
      </c>
      <c r="E412" t="s">
        <v>119</v>
      </c>
      <c r="F412" t="s">
        <v>551</v>
      </c>
      <c r="G412">
        <v>5</v>
      </c>
      <c r="H412">
        <v>5</v>
      </c>
      <c r="I412">
        <v>9</v>
      </c>
      <c r="J412" t="b">
        <v>0</v>
      </c>
      <c r="L412">
        <v>35</v>
      </c>
      <c r="M412">
        <v>7.7</v>
      </c>
      <c r="N412" t="s">
        <v>1107</v>
      </c>
      <c r="O412">
        <v>70.099999999999994</v>
      </c>
      <c r="P412">
        <v>7.37</v>
      </c>
      <c r="Q412" t="s">
        <v>1110</v>
      </c>
    </row>
    <row r="413" spans="1:17">
      <c r="A413" s="2">
        <v>45882</v>
      </c>
      <c r="B413">
        <v>5</v>
      </c>
      <c r="C413">
        <v>12</v>
      </c>
      <c r="D413" t="s">
        <v>21</v>
      </c>
      <c r="E413" t="s">
        <v>120</v>
      </c>
      <c r="F413" t="s">
        <v>552</v>
      </c>
      <c r="G413">
        <v>0</v>
      </c>
      <c r="H413">
        <v>3</v>
      </c>
      <c r="I413">
        <v>6</v>
      </c>
      <c r="J413" t="b">
        <v>0</v>
      </c>
      <c r="L413">
        <v>35</v>
      </c>
      <c r="M413">
        <v>7.5</v>
      </c>
      <c r="N413" t="s">
        <v>1107</v>
      </c>
      <c r="O413">
        <v>75.8</v>
      </c>
      <c r="P413">
        <v>7.58</v>
      </c>
      <c r="Q413" t="s">
        <v>1110</v>
      </c>
    </row>
    <row r="414" spans="1:17">
      <c r="A414" s="2">
        <v>45882</v>
      </c>
      <c r="B414">
        <v>5</v>
      </c>
      <c r="C414">
        <v>13</v>
      </c>
      <c r="D414" t="s">
        <v>22</v>
      </c>
      <c r="E414" t="s">
        <v>121</v>
      </c>
      <c r="F414" t="s">
        <v>553</v>
      </c>
      <c r="G414">
        <v>1</v>
      </c>
      <c r="H414">
        <v>5</v>
      </c>
      <c r="I414">
        <v>2</v>
      </c>
      <c r="J414" t="b">
        <v>0</v>
      </c>
      <c r="L414">
        <v>35</v>
      </c>
      <c r="M414">
        <v>8</v>
      </c>
      <c r="N414" t="s">
        <v>1107</v>
      </c>
      <c r="O414">
        <v>68.3</v>
      </c>
      <c r="P414">
        <v>5.0999999999999996</v>
      </c>
      <c r="Q414" t="s">
        <v>1110</v>
      </c>
    </row>
    <row r="415" spans="1:17">
      <c r="A415" s="2">
        <v>45882</v>
      </c>
      <c r="B415">
        <v>5</v>
      </c>
      <c r="C415">
        <v>14</v>
      </c>
      <c r="D415" t="s">
        <v>23</v>
      </c>
      <c r="E415" t="s">
        <v>122</v>
      </c>
      <c r="F415" t="s">
        <v>554</v>
      </c>
      <c r="G415">
        <v>2</v>
      </c>
      <c r="H415">
        <v>1</v>
      </c>
      <c r="I415">
        <v>3</v>
      </c>
      <c r="J415" t="b">
        <v>0</v>
      </c>
      <c r="L415">
        <v>35</v>
      </c>
      <c r="M415">
        <v>7.3</v>
      </c>
      <c r="N415" t="s">
        <v>1107</v>
      </c>
      <c r="O415">
        <v>83.7</v>
      </c>
      <c r="P415">
        <v>6.63</v>
      </c>
      <c r="Q415" t="s">
        <v>1110</v>
      </c>
    </row>
    <row r="416" spans="1:17">
      <c r="A416" s="2">
        <v>45882</v>
      </c>
      <c r="B416">
        <v>5</v>
      </c>
      <c r="C416">
        <v>15</v>
      </c>
      <c r="D416" t="s">
        <v>24</v>
      </c>
      <c r="E416" t="s">
        <v>123</v>
      </c>
      <c r="F416" t="s">
        <v>278</v>
      </c>
      <c r="G416">
        <v>1</v>
      </c>
      <c r="H416">
        <v>1</v>
      </c>
      <c r="I416">
        <v>3</v>
      </c>
      <c r="J416" t="b">
        <v>0</v>
      </c>
      <c r="L416">
        <v>35</v>
      </c>
      <c r="M416">
        <v>7.5</v>
      </c>
      <c r="N416" t="s">
        <v>1107</v>
      </c>
      <c r="O416">
        <v>62</v>
      </c>
      <c r="P416">
        <v>7.64</v>
      </c>
      <c r="Q416" t="s">
        <v>1110</v>
      </c>
    </row>
    <row r="417" spans="1:17">
      <c r="A417" s="2">
        <v>45882</v>
      </c>
      <c r="B417">
        <v>5</v>
      </c>
      <c r="C417">
        <v>16</v>
      </c>
      <c r="D417" t="s">
        <v>1273</v>
      </c>
      <c r="E417" t="s">
        <v>124</v>
      </c>
      <c r="F417" t="s">
        <v>555</v>
      </c>
      <c r="G417">
        <v>4</v>
      </c>
      <c r="H417">
        <v>2</v>
      </c>
      <c r="I417">
        <v>5</v>
      </c>
      <c r="J417" t="b">
        <v>0</v>
      </c>
      <c r="L417">
        <v>35</v>
      </c>
      <c r="M417">
        <v>7.1</v>
      </c>
      <c r="N417" t="s">
        <v>1107</v>
      </c>
      <c r="O417">
        <v>83.6</v>
      </c>
      <c r="P417">
        <v>7.02</v>
      </c>
      <c r="Q417" t="s">
        <v>1111</v>
      </c>
    </row>
    <row r="418" spans="1:17">
      <c r="A418" s="2">
        <v>45882</v>
      </c>
      <c r="B418">
        <v>5</v>
      </c>
      <c r="C418">
        <v>17</v>
      </c>
      <c r="D418" t="s">
        <v>25</v>
      </c>
      <c r="E418" t="s">
        <v>125</v>
      </c>
      <c r="F418" t="s">
        <v>556</v>
      </c>
      <c r="G418">
        <v>1</v>
      </c>
      <c r="H418">
        <v>2</v>
      </c>
      <c r="I418">
        <v>4</v>
      </c>
      <c r="J418" t="b">
        <v>0</v>
      </c>
      <c r="K418" t="s">
        <v>1104</v>
      </c>
      <c r="L418">
        <v>35</v>
      </c>
      <c r="M418">
        <v>4.0999999999999996</v>
      </c>
      <c r="N418" t="s">
        <v>1107</v>
      </c>
      <c r="O418">
        <v>69.099999999999994</v>
      </c>
      <c r="P418">
        <v>6.86</v>
      </c>
      <c r="Q418" t="s">
        <v>1110</v>
      </c>
    </row>
    <row r="419" spans="1:17">
      <c r="A419" s="2">
        <v>45882</v>
      </c>
      <c r="B419">
        <v>5</v>
      </c>
      <c r="C419">
        <v>18</v>
      </c>
      <c r="D419" t="s">
        <v>26</v>
      </c>
      <c r="E419" t="s">
        <v>126</v>
      </c>
      <c r="F419" t="s">
        <v>557</v>
      </c>
      <c r="G419">
        <v>2</v>
      </c>
      <c r="H419">
        <v>3</v>
      </c>
      <c r="I419">
        <v>3</v>
      </c>
      <c r="J419" t="b">
        <v>0</v>
      </c>
      <c r="K419" t="s">
        <v>1104</v>
      </c>
      <c r="L419">
        <v>35</v>
      </c>
      <c r="M419">
        <v>4.2</v>
      </c>
      <c r="N419" t="s">
        <v>1107</v>
      </c>
      <c r="O419">
        <v>74</v>
      </c>
      <c r="P419">
        <v>5.2</v>
      </c>
      <c r="Q419" t="s">
        <v>1110</v>
      </c>
    </row>
    <row r="420" spans="1:17">
      <c r="A420" s="2">
        <v>45882</v>
      </c>
      <c r="B420">
        <v>5</v>
      </c>
      <c r="C420">
        <v>19</v>
      </c>
      <c r="D420" t="s">
        <v>27</v>
      </c>
      <c r="E420" t="s">
        <v>127</v>
      </c>
      <c r="F420" t="s">
        <v>558</v>
      </c>
      <c r="G420">
        <v>0</v>
      </c>
      <c r="H420">
        <v>2</v>
      </c>
      <c r="I420">
        <v>1</v>
      </c>
      <c r="J420" t="b">
        <v>0</v>
      </c>
      <c r="K420" t="s">
        <v>1104</v>
      </c>
      <c r="L420">
        <v>35</v>
      </c>
      <c r="M420">
        <v>4.0999999999999996</v>
      </c>
      <c r="N420" t="s">
        <v>1107</v>
      </c>
      <c r="O420">
        <v>84.5</v>
      </c>
      <c r="P420">
        <v>5.72</v>
      </c>
      <c r="Q420" t="s">
        <v>1110</v>
      </c>
    </row>
    <row r="421" spans="1:17">
      <c r="A421" s="2">
        <v>45882</v>
      </c>
      <c r="B421">
        <v>5</v>
      </c>
      <c r="C421">
        <v>20</v>
      </c>
      <c r="D421" t="s">
        <v>28</v>
      </c>
      <c r="E421" t="s">
        <v>128</v>
      </c>
      <c r="F421" t="s">
        <v>559</v>
      </c>
      <c r="G421">
        <v>1</v>
      </c>
      <c r="H421">
        <v>0</v>
      </c>
      <c r="I421">
        <v>2</v>
      </c>
      <c r="J421" t="b">
        <v>0</v>
      </c>
      <c r="K421" t="s">
        <v>1104</v>
      </c>
      <c r="L421">
        <v>35</v>
      </c>
      <c r="N421" t="s">
        <v>1107</v>
      </c>
      <c r="O421">
        <v>83.5</v>
      </c>
      <c r="P421">
        <v>6.74</v>
      </c>
      <c r="Q421" t="s">
        <v>1112</v>
      </c>
    </row>
    <row r="422" spans="1:17">
      <c r="A422" s="2">
        <v>45882</v>
      </c>
      <c r="B422">
        <v>6</v>
      </c>
      <c r="C422">
        <v>1</v>
      </c>
      <c r="D422" t="s">
        <v>17</v>
      </c>
      <c r="E422" t="s">
        <v>129</v>
      </c>
      <c r="F422" t="s">
        <v>560</v>
      </c>
      <c r="G422">
        <v>0</v>
      </c>
      <c r="H422">
        <v>0</v>
      </c>
      <c r="I422">
        <v>0</v>
      </c>
      <c r="J422" t="b">
        <v>0</v>
      </c>
      <c r="L422">
        <v>36</v>
      </c>
      <c r="N422" t="s">
        <v>1107</v>
      </c>
      <c r="O422">
        <v>78.599999999999994</v>
      </c>
      <c r="P422">
        <v>5.68</v>
      </c>
      <c r="Q422" t="s">
        <v>1110</v>
      </c>
    </row>
    <row r="423" spans="1:17">
      <c r="A423" s="2">
        <v>45882</v>
      </c>
      <c r="B423">
        <v>6</v>
      </c>
      <c r="C423">
        <v>2</v>
      </c>
      <c r="D423" t="s">
        <v>1269</v>
      </c>
      <c r="E423" t="s">
        <v>130</v>
      </c>
      <c r="F423" t="s">
        <v>561</v>
      </c>
      <c r="G423">
        <v>4</v>
      </c>
      <c r="H423">
        <v>0</v>
      </c>
      <c r="I423">
        <v>4</v>
      </c>
      <c r="J423" t="b">
        <v>0</v>
      </c>
      <c r="L423">
        <v>36</v>
      </c>
      <c r="N423" t="s">
        <v>1107</v>
      </c>
      <c r="O423">
        <v>77</v>
      </c>
      <c r="P423">
        <v>5.83</v>
      </c>
      <c r="Q423" t="s">
        <v>1110</v>
      </c>
    </row>
    <row r="424" spans="1:17">
      <c r="A424" s="2">
        <v>45882</v>
      </c>
      <c r="B424">
        <v>6</v>
      </c>
      <c r="C424">
        <v>3</v>
      </c>
      <c r="D424" t="s">
        <v>18</v>
      </c>
      <c r="E424" t="s">
        <v>131</v>
      </c>
      <c r="F424" t="s">
        <v>562</v>
      </c>
      <c r="G424">
        <v>0</v>
      </c>
      <c r="H424">
        <v>3</v>
      </c>
      <c r="I424">
        <v>1</v>
      </c>
      <c r="J424" t="b">
        <v>0</v>
      </c>
      <c r="L424">
        <v>36</v>
      </c>
      <c r="M424" t="s">
        <v>1207</v>
      </c>
      <c r="N424" t="s">
        <v>1107</v>
      </c>
      <c r="O424">
        <v>72.2</v>
      </c>
      <c r="P424">
        <v>6.58</v>
      </c>
      <c r="Q424" t="s">
        <v>1110</v>
      </c>
    </row>
    <row r="425" spans="1:17">
      <c r="A425" s="2">
        <v>45882</v>
      </c>
      <c r="B425">
        <v>6</v>
      </c>
      <c r="C425">
        <v>4</v>
      </c>
      <c r="D425" t="s">
        <v>19</v>
      </c>
      <c r="E425" t="s">
        <v>132</v>
      </c>
      <c r="F425" t="s">
        <v>563</v>
      </c>
      <c r="G425">
        <v>3</v>
      </c>
      <c r="H425">
        <v>0</v>
      </c>
      <c r="I425">
        <v>4</v>
      </c>
      <c r="J425" t="b">
        <v>0</v>
      </c>
      <c r="L425">
        <v>36</v>
      </c>
      <c r="N425" t="s">
        <v>1107</v>
      </c>
      <c r="O425">
        <v>77</v>
      </c>
      <c r="P425">
        <v>6.6</v>
      </c>
      <c r="Q425" t="s">
        <v>1110</v>
      </c>
    </row>
    <row r="426" spans="1:17">
      <c r="A426" s="2">
        <v>45882</v>
      </c>
      <c r="B426">
        <v>6</v>
      </c>
      <c r="C426">
        <v>5</v>
      </c>
      <c r="D426" t="s">
        <v>1115</v>
      </c>
      <c r="E426" t="s">
        <v>133</v>
      </c>
      <c r="F426" t="s">
        <v>564</v>
      </c>
      <c r="G426">
        <v>4</v>
      </c>
      <c r="H426">
        <v>2</v>
      </c>
      <c r="I426">
        <v>6</v>
      </c>
      <c r="J426" t="b">
        <v>0</v>
      </c>
      <c r="L426">
        <v>36</v>
      </c>
      <c r="M426" t="s">
        <v>1215</v>
      </c>
      <c r="N426" t="s">
        <v>1107</v>
      </c>
      <c r="O426">
        <v>80</v>
      </c>
      <c r="P426">
        <v>7.84</v>
      </c>
      <c r="Q426" t="s">
        <v>1111</v>
      </c>
    </row>
    <row r="427" spans="1:17">
      <c r="A427" s="2">
        <v>45882</v>
      </c>
      <c r="B427">
        <v>6</v>
      </c>
      <c r="C427">
        <v>6</v>
      </c>
      <c r="D427" t="s">
        <v>1270</v>
      </c>
      <c r="E427" t="s">
        <v>134</v>
      </c>
      <c r="F427" t="s">
        <v>289</v>
      </c>
      <c r="G427">
        <v>2</v>
      </c>
      <c r="H427">
        <v>5</v>
      </c>
      <c r="I427">
        <v>3</v>
      </c>
      <c r="J427" t="b">
        <v>0</v>
      </c>
      <c r="L427">
        <v>36</v>
      </c>
      <c r="M427">
        <v>10</v>
      </c>
      <c r="N427" t="s">
        <v>1108</v>
      </c>
      <c r="O427">
        <v>61.6</v>
      </c>
      <c r="P427">
        <v>7.68</v>
      </c>
      <c r="Q427" t="s">
        <v>1110</v>
      </c>
    </row>
    <row r="428" spans="1:17">
      <c r="A428" s="2">
        <v>45882</v>
      </c>
      <c r="B428">
        <v>6</v>
      </c>
      <c r="C428">
        <v>7</v>
      </c>
      <c r="D428" t="s">
        <v>1114</v>
      </c>
      <c r="E428" t="s">
        <v>135</v>
      </c>
      <c r="F428" t="s">
        <v>565</v>
      </c>
      <c r="G428">
        <v>3</v>
      </c>
      <c r="H428">
        <v>1</v>
      </c>
      <c r="I428">
        <v>5</v>
      </c>
      <c r="J428" t="b">
        <v>0</v>
      </c>
      <c r="L428">
        <v>36</v>
      </c>
      <c r="M428" t="s">
        <v>1205</v>
      </c>
      <c r="N428" t="s">
        <v>1107</v>
      </c>
      <c r="O428">
        <v>82.4</v>
      </c>
      <c r="P428">
        <v>5.87</v>
      </c>
      <c r="Q428" t="s">
        <v>1112</v>
      </c>
    </row>
    <row r="429" spans="1:17">
      <c r="A429" s="2">
        <v>45882</v>
      </c>
      <c r="B429">
        <v>6</v>
      </c>
      <c r="C429">
        <v>8</v>
      </c>
      <c r="D429" t="s">
        <v>1271</v>
      </c>
      <c r="E429" t="s">
        <v>136</v>
      </c>
      <c r="F429" t="s">
        <v>566</v>
      </c>
      <c r="G429">
        <v>2</v>
      </c>
      <c r="H429">
        <v>4</v>
      </c>
      <c r="I429">
        <v>3</v>
      </c>
      <c r="J429" t="b">
        <v>0</v>
      </c>
      <c r="L429">
        <v>36</v>
      </c>
      <c r="M429" t="s">
        <v>1203</v>
      </c>
      <c r="N429" t="s">
        <v>1107</v>
      </c>
      <c r="O429">
        <v>66.900000000000006</v>
      </c>
      <c r="P429">
        <v>7.09</v>
      </c>
      <c r="Q429" t="s">
        <v>1110</v>
      </c>
    </row>
    <row r="430" spans="1:17">
      <c r="A430" s="2">
        <v>45882</v>
      </c>
      <c r="B430">
        <v>6</v>
      </c>
      <c r="C430">
        <v>9</v>
      </c>
      <c r="D430" t="s">
        <v>20</v>
      </c>
      <c r="E430" t="s">
        <v>137</v>
      </c>
      <c r="F430" t="s">
        <v>567</v>
      </c>
      <c r="G430">
        <v>5</v>
      </c>
      <c r="H430">
        <v>1</v>
      </c>
      <c r="I430">
        <v>7</v>
      </c>
      <c r="J430" t="b">
        <v>0</v>
      </c>
      <c r="L430">
        <v>36</v>
      </c>
      <c r="M430" t="s">
        <v>1208</v>
      </c>
      <c r="N430" t="s">
        <v>1107</v>
      </c>
      <c r="O430">
        <v>73</v>
      </c>
      <c r="P430">
        <v>6.88</v>
      </c>
      <c r="Q430" t="s">
        <v>1110</v>
      </c>
    </row>
    <row r="431" spans="1:17">
      <c r="A431" s="2">
        <v>45882</v>
      </c>
      <c r="B431">
        <v>6</v>
      </c>
      <c r="C431">
        <v>10</v>
      </c>
      <c r="D431" t="s">
        <v>1113</v>
      </c>
      <c r="E431" t="s">
        <v>138</v>
      </c>
      <c r="F431" t="s">
        <v>568</v>
      </c>
      <c r="G431">
        <v>5</v>
      </c>
      <c r="H431">
        <v>3</v>
      </c>
      <c r="I431">
        <v>9</v>
      </c>
      <c r="J431" t="b">
        <v>0</v>
      </c>
      <c r="L431">
        <v>36</v>
      </c>
      <c r="M431" t="s">
        <v>1207</v>
      </c>
      <c r="N431" t="s">
        <v>1109</v>
      </c>
      <c r="O431">
        <v>73.5</v>
      </c>
      <c r="P431">
        <v>5.4</v>
      </c>
      <c r="Q431" t="s">
        <v>1110</v>
      </c>
    </row>
    <row r="432" spans="1:17">
      <c r="A432" s="2">
        <v>45882</v>
      </c>
      <c r="B432">
        <v>6</v>
      </c>
      <c r="C432">
        <v>11</v>
      </c>
      <c r="D432" t="s">
        <v>1272</v>
      </c>
      <c r="E432" t="s">
        <v>139</v>
      </c>
      <c r="F432" t="s">
        <v>424</v>
      </c>
      <c r="G432">
        <v>0</v>
      </c>
      <c r="H432">
        <v>3</v>
      </c>
      <c r="I432">
        <v>6</v>
      </c>
      <c r="J432" t="b">
        <v>0</v>
      </c>
      <c r="L432">
        <v>36</v>
      </c>
      <c r="M432" t="s">
        <v>1202</v>
      </c>
      <c r="N432" t="s">
        <v>1107</v>
      </c>
      <c r="O432">
        <v>76.099999999999994</v>
      </c>
      <c r="P432">
        <v>5.87</v>
      </c>
      <c r="Q432" t="s">
        <v>1110</v>
      </c>
    </row>
    <row r="433" spans="1:17">
      <c r="A433" s="2">
        <v>45882</v>
      </c>
      <c r="B433">
        <v>6</v>
      </c>
      <c r="C433">
        <v>12</v>
      </c>
      <c r="D433" t="s">
        <v>21</v>
      </c>
      <c r="E433" t="s">
        <v>140</v>
      </c>
      <c r="F433" t="s">
        <v>569</v>
      </c>
      <c r="G433">
        <v>2</v>
      </c>
      <c r="H433">
        <v>0</v>
      </c>
      <c r="I433">
        <v>8</v>
      </c>
      <c r="J433" t="b">
        <v>0</v>
      </c>
      <c r="L433">
        <v>36</v>
      </c>
      <c r="N433" t="s">
        <v>1107</v>
      </c>
      <c r="O433">
        <v>65.8</v>
      </c>
      <c r="P433">
        <v>7.84</v>
      </c>
      <c r="Q433" t="s">
        <v>1110</v>
      </c>
    </row>
    <row r="434" spans="1:17">
      <c r="A434" s="2">
        <v>45882</v>
      </c>
      <c r="B434">
        <v>6</v>
      </c>
      <c r="C434">
        <v>13</v>
      </c>
      <c r="D434" t="s">
        <v>22</v>
      </c>
      <c r="E434" t="s">
        <v>141</v>
      </c>
      <c r="F434" t="s">
        <v>570</v>
      </c>
      <c r="G434">
        <v>0</v>
      </c>
      <c r="H434">
        <v>0</v>
      </c>
      <c r="I434">
        <v>8</v>
      </c>
      <c r="J434" t="b">
        <v>0</v>
      </c>
      <c r="L434">
        <v>36</v>
      </c>
      <c r="N434" t="s">
        <v>1107</v>
      </c>
      <c r="O434">
        <v>68.599999999999994</v>
      </c>
      <c r="P434">
        <v>6.94</v>
      </c>
      <c r="Q434" t="s">
        <v>1110</v>
      </c>
    </row>
    <row r="435" spans="1:17">
      <c r="A435" s="2">
        <v>45882</v>
      </c>
      <c r="B435">
        <v>6</v>
      </c>
      <c r="C435">
        <v>14</v>
      </c>
      <c r="D435" t="s">
        <v>23</v>
      </c>
      <c r="E435" t="s">
        <v>142</v>
      </c>
      <c r="F435" t="s">
        <v>571</v>
      </c>
      <c r="G435">
        <v>1</v>
      </c>
      <c r="H435">
        <v>4</v>
      </c>
      <c r="I435">
        <v>5</v>
      </c>
      <c r="J435" t="b">
        <v>0</v>
      </c>
      <c r="L435">
        <v>36</v>
      </c>
      <c r="M435" t="s">
        <v>1215</v>
      </c>
      <c r="N435" t="s">
        <v>1107</v>
      </c>
      <c r="O435">
        <v>77.400000000000006</v>
      </c>
      <c r="P435">
        <v>7.53</v>
      </c>
      <c r="Q435" t="s">
        <v>1110</v>
      </c>
    </row>
    <row r="436" spans="1:17">
      <c r="A436" s="2">
        <v>45882</v>
      </c>
      <c r="B436">
        <v>6</v>
      </c>
      <c r="C436">
        <v>15</v>
      </c>
      <c r="D436" t="s">
        <v>24</v>
      </c>
      <c r="E436" t="s">
        <v>143</v>
      </c>
      <c r="F436" t="s">
        <v>572</v>
      </c>
      <c r="G436">
        <v>0</v>
      </c>
      <c r="H436">
        <v>5</v>
      </c>
      <c r="I436">
        <v>0</v>
      </c>
      <c r="J436" t="b">
        <v>1</v>
      </c>
      <c r="L436">
        <v>36</v>
      </c>
      <c r="M436" t="s">
        <v>1202</v>
      </c>
      <c r="N436" t="s">
        <v>1107</v>
      </c>
      <c r="O436">
        <v>86.3</v>
      </c>
      <c r="P436">
        <v>7.37</v>
      </c>
      <c r="Q436" t="s">
        <v>1110</v>
      </c>
    </row>
    <row r="437" spans="1:17">
      <c r="A437" s="2">
        <v>45882</v>
      </c>
      <c r="B437">
        <v>6</v>
      </c>
      <c r="C437">
        <v>16</v>
      </c>
      <c r="D437" t="s">
        <v>1273</v>
      </c>
      <c r="E437" t="s">
        <v>144</v>
      </c>
      <c r="G437">
        <v>0</v>
      </c>
      <c r="H437">
        <v>0</v>
      </c>
      <c r="I437">
        <v>0</v>
      </c>
      <c r="J437" t="b">
        <v>1</v>
      </c>
      <c r="K437" t="s">
        <v>1105</v>
      </c>
      <c r="L437">
        <v>36</v>
      </c>
      <c r="N437" t="s">
        <v>1107</v>
      </c>
      <c r="O437">
        <v>89.8</v>
      </c>
      <c r="P437">
        <v>7.91</v>
      </c>
      <c r="Q437" t="s">
        <v>1110</v>
      </c>
    </row>
    <row r="438" spans="1:17">
      <c r="A438" s="2">
        <v>45882</v>
      </c>
      <c r="B438">
        <v>6</v>
      </c>
      <c r="C438">
        <v>17</v>
      </c>
      <c r="D438" t="s">
        <v>25</v>
      </c>
      <c r="E438" t="s">
        <v>145</v>
      </c>
      <c r="G438">
        <v>0</v>
      </c>
      <c r="H438">
        <v>0</v>
      </c>
      <c r="I438">
        <v>0</v>
      </c>
      <c r="J438" t="b">
        <v>1</v>
      </c>
      <c r="K438" t="s">
        <v>1105</v>
      </c>
      <c r="L438">
        <v>36</v>
      </c>
      <c r="N438" t="s">
        <v>1107</v>
      </c>
      <c r="O438">
        <v>88.5</v>
      </c>
      <c r="P438">
        <v>6.37</v>
      </c>
      <c r="Q438" t="s">
        <v>1110</v>
      </c>
    </row>
    <row r="439" spans="1:17">
      <c r="A439" s="2">
        <v>45882</v>
      </c>
      <c r="B439">
        <v>6</v>
      </c>
      <c r="C439">
        <v>18</v>
      </c>
      <c r="D439" t="s">
        <v>26</v>
      </c>
      <c r="E439" t="s">
        <v>146</v>
      </c>
      <c r="G439">
        <v>0</v>
      </c>
      <c r="H439">
        <v>0</v>
      </c>
      <c r="I439">
        <v>0</v>
      </c>
      <c r="J439" t="b">
        <v>1</v>
      </c>
      <c r="K439" t="s">
        <v>1105</v>
      </c>
      <c r="L439">
        <v>36</v>
      </c>
      <c r="N439" t="s">
        <v>1108</v>
      </c>
      <c r="O439">
        <v>92.1</v>
      </c>
      <c r="P439">
        <v>5.86</v>
      </c>
      <c r="Q439" t="s">
        <v>1112</v>
      </c>
    </row>
    <row r="440" spans="1:17">
      <c r="A440" s="2">
        <v>45882</v>
      </c>
      <c r="B440">
        <v>6</v>
      </c>
      <c r="C440">
        <v>19</v>
      </c>
      <c r="D440" t="s">
        <v>27</v>
      </c>
      <c r="E440" t="s">
        <v>147</v>
      </c>
      <c r="G440">
        <v>0</v>
      </c>
      <c r="H440">
        <v>0</v>
      </c>
      <c r="I440">
        <v>0</v>
      </c>
      <c r="J440" t="b">
        <v>1</v>
      </c>
      <c r="K440" t="s">
        <v>1105</v>
      </c>
      <c r="L440">
        <v>36</v>
      </c>
      <c r="N440" t="s">
        <v>1107</v>
      </c>
      <c r="O440">
        <v>91.9</v>
      </c>
      <c r="P440">
        <v>7</v>
      </c>
      <c r="Q440" t="s">
        <v>1110</v>
      </c>
    </row>
    <row r="441" spans="1:17">
      <c r="A441" s="2">
        <v>45882</v>
      </c>
      <c r="B441">
        <v>6</v>
      </c>
      <c r="C441">
        <v>20</v>
      </c>
      <c r="D441" t="s">
        <v>28</v>
      </c>
      <c r="E441" t="s">
        <v>148</v>
      </c>
      <c r="G441">
        <v>0</v>
      </c>
      <c r="H441">
        <v>0</v>
      </c>
      <c r="I441">
        <v>0</v>
      </c>
      <c r="J441" t="b">
        <v>1</v>
      </c>
      <c r="K441" t="s">
        <v>1105</v>
      </c>
      <c r="L441">
        <v>36</v>
      </c>
      <c r="N441" t="s">
        <v>1107</v>
      </c>
      <c r="O441">
        <v>85.4</v>
      </c>
      <c r="P441">
        <v>5.95</v>
      </c>
      <c r="Q441" t="s">
        <v>1110</v>
      </c>
    </row>
    <row r="442" spans="1:17">
      <c r="A442" s="2">
        <v>45882</v>
      </c>
      <c r="B442">
        <v>7</v>
      </c>
      <c r="C442">
        <v>1</v>
      </c>
      <c r="D442" t="s">
        <v>17</v>
      </c>
      <c r="E442" t="s">
        <v>149</v>
      </c>
      <c r="F442" t="s">
        <v>573</v>
      </c>
      <c r="G442">
        <v>0</v>
      </c>
      <c r="H442">
        <v>0</v>
      </c>
      <c r="I442">
        <v>0</v>
      </c>
      <c r="J442" t="b">
        <v>0</v>
      </c>
      <c r="L442">
        <v>35</v>
      </c>
      <c r="N442" t="s">
        <v>1107</v>
      </c>
      <c r="O442">
        <v>64.599999999999994</v>
      </c>
      <c r="P442">
        <v>6.69</v>
      </c>
      <c r="Q442" t="s">
        <v>1110</v>
      </c>
    </row>
    <row r="443" spans="1:17">
      <c r="A443" s="2">
        <v>45882</v>
      </c>
      <c r="B443">
        <v>7</v>
      </c>
      <c r="C443">
        <v>2</v>
      </c>
      <c r="D443" t="s">
        <v>1269</v>
      </c>
      <c r="E443" t="s">
        <v>150</v>
      </c>
      <c r="F443" t="s">
        <v>574</v>
      </c>
      <c r="G443">
        <v>3</v>
      </c>
      <c r="H443">
        <v>0</v>
      </c>
      <c r="I443">
        <v>3</v>
      </c>
      <c r="J443" t="b">
        <v>0</v>
      </c>
      <c r="L443">
        <v>35</v>
      </c>
      <c r="N443" t="s">
        <v>1107</v>
      </c>
      <c r="O443">
        <v>68.599999999999994</v>
      </c>
      <c r="P443">
        <v>6.12</v>
      </c>
      <c r="Q443" t="s">
        <v>1110</v>
      </c>
    </row>
    <row r="444" spans="1:17">
      <c r="A444" s="2">
        <v>45882</v>
      </c>
      <c r="B444">
        <v>7</v>
      </c>
      <c r="C444">
        <v>3</v>
      </c>
      <c r="D444" t="s">
        <v>18</v>
      </c>
      <c r="E444" t="s">
        <v>151</v>
      </c>
      <c r="F444" t="s">
        <v>151</v>
      </c>
      <c r="G444">
        <v>0</v>
      </c>
      <c r="H444">
        <v>2</v>
      </c>
      <c r="I444">
        <v>1</v>
      </c>
      <c r="J444" t="b">
        <v>0</v>
      </c>
      <c r="L444">
        <v>35</v>
      </c>
      <c r="M444">
        <v>8.1</v>
      </c>
      <c r="N444" t="s">
        <v>1107</v>
      </c>
      <c r="O444">
        <v>67.5</v>
      </c>
      <c r="P444">
        <v>7.76</v>
      </c>
      <c r="Q444" t="s">
        <v>1110</v>
      </c>
    </row>
    <row r="445" spans="1:17">
      <c r="A445" s="2">
        <v>45882</v>
      </c>
      <c r="B445">
        <v>7</v>
      </c>
      <c r="C445">
        <v>4</v>
      </c>
      <c r="D445" t="s">
        <v>19</v>
      </c>
      <c r="E445" t="s">
        <v>152</v>
      </c>
      <c r="F445" t="s">
        <v>575</v>
      </c>
      <c r="G445">
        <v>3</v>
      </c>
      <c r="H445">
        <v>0</v>
      </c>
      <c r="I445">
        <v>4</v>
      </c>
      <c r="J445" t="b">
        <v>0</v>
      </c>
      <c r="L445">
        <v>35</v>
      </c>
      <c r="N445" t="s">
        <v>1107</v>
      </c>
      <c r="O445">
        <v>63.6</v>
      </c>
      <c r="P445">
        <v>6.37</v>
      </c>
      <c r="Q445" t="s">
        <v>1110</v>
      </c>
    </row>
    <row r="446" spans="1:17">
      <c r="A446" s="2">
        <v>45882</v>
      </c>
      <c r="B446">
        <v>7</v>
      </c>
      <c r="C446">
        <v>5</v>
      </c>
      <c r="D446" t="s">
        <v>1115</v>
      </c>
      <c r="E446" t="s">
        <v>153</v>
      </c>
      <c r="F446" t="s">
        <v>576</v>
      </c>
      <c r="G446">
        <v>2</v>
      </c>
      <c r="H446">
        <v>1</v>
      </c>
      <c r="I446">
        <v>5</v>
      </c>
      <c r="J446" t="b">
        <v>0</v>
      </c>
      <c r="L446">
        <v>35</v>
      </c>
      <c r="M446">
        <v>8.1</v>
      </c>
      <c r="N446" t="s">
        <v>1107</v>
      </c>
      <c r="O446">
        <v>78.5</v>
      </c>
      <c r="P446">
        <v>7.93</v>
      </c>
      <c r="Q446" t="s">
        <v>1110</v>
      </c>
    </row>
    <row r="447" spans="1:17">
      <c r="A447" s="2">
        <v>45882</v>
      </c>
      <c r="B447">
        <v>7</v>
      </c>
      <c r="C447">
        <v>6</v>
      </c>
      <c r="D447" t="s">
        <v>1270</v>
      </c>
      <c r="E447" t="s">
        <v>154</v>
      </c>
      <c r="F447" t="s">
        <v>577</v>
      </c>
      <c r="G447">
        <v>2</v>
      </c>
      <c r="H447">
        <v>5</v>
      </c>
      <c r="I447">
        <v>2</v>
      </c>
      <c r="J447" t="b">
        <v>0</v>
      </c>
      <c r="L447">
        <v>35</v>
      </c>
      <c r="M447">
        <v>7.7</v>
      </c>
      <c r="N447" t="s">
        <v>1107</v>
      </c>
      <c r="O447">
        <v>71.8</v>
      </c>
      <c r="P447">
        <v>5.87</v>
      </c>
      <c r="Q447" t="s">
        <v>1111</v>
      </c>
    </row>
    <row r="448" spans="1:17">
      <c r="A448" s="2">
        <v>45882</v>
      </c>
      <c r="B448">
        <v>7</v>
      </c>
      <c r="C448">
        <v>7</v>
      </c>
      <c r="D448" t="s">
        <v>1114</v>
      </c>
      <c r="E448" t="s">
        <v>155</v>
      </c>
      <c r="F448" t="s">
        <v>578</v>
      </c>
      <c r="G448">
        <v>2</v>
      </c>
      <c r="H448">
        <v>2</v>
      </c>
      <c r="I448">
        <v>2</v>
      </c>
      <c r="J448" t="b">
        <v>0</v>
      </c>
      <c r="L448">
        <v>35</v>
      </c>
      <c r="M448">
        <v>8.1</v>
      </c>
      <c r="N448" t="s">
        <v>1106</v>
      </c>
      <c r="O448">
        <v>74.3</v>
      </c>
      <c r="P448">
        <v>5.44</v>
      </c>
      <c r="Q448" t="s">
        <v>1110</v>
      </c>
    </row>
    <row r="449" spans="1:17">
      <c r="A449" s="2">
        <v>45882</v>
      </c>
      <c r="B449">
        <v>7</v>
      </c>
      <c r="C449">
        <v>8</v>
      </c>
      <c r="D449" t="s">
        <v>1271</v>
      </c>
      <c r="E449" t="s">
        <v>156</v>
      </c>
      <c r="F449" t="s">
        <v>579</v>
      </c>
      <c r="G449">
        <v>1</v>
      </c>
      <c r="H449">
        <v>1</v>
      </c>
      <c r="I449">
        <v>2</v>
      </c>
      <c r="J449" t="b">
        <v>0</v>
      </c>
      <c r="L449">
        <v>35</v>
      </c>
      <c r="M449">
        <v>7.4</v>
      </c>
      <c r="N449" t="s">
        <v>1108</v>
      </c>
      <c r="O449">
        <v>71.099999999999994</v>
      </c>
      <c r="P449">
        <v>7.07</v>
      </c>
      <c r="Q449" t="s">
        <v>1110</v>
      </c>
    </row>
    <row r="450" spans="1:17">
      <c r="A450" s="2">
        <v>45882</v>
      </c>
      <c r="B450">
        <v>7</v>
      </c>
      <c r="C450">
        <v>9</v>
      </c>
      <c r="D450" t="s">
        <v>20</v>
      </c>
      <c r="E450" t="s">
        <v>157</v>
      </c>
      <c r="F450" t="s">
        <v>580</v>
      </c>
      <c r="G450">
        <v>0</v>
      </c>
      <c r="H450">
        <v>1</v>
      </c>
      <c r="I450">
        <v>1</v>
      </c>
      <c r="J450" t="b">
        <v>0</v>
      </c>
      <c r="L450">
        <v>35</v>
      </c>
      <c r="M450">
        <v>7.1</v>
      </c>
      <c r="N450" t="s">
        <v>1108</v>
      </c>
      <c r="O450">
        <v>63.5</v>
      </c>
      <c r="P450">
        <v>6.65</v>
      </c>
      <c r="Q450" t="s">
        <v>1110</v>
      </c>
    </row>
    <row r="451" spans="1:17">
      <c r="A451" s="2">
        <v>45882</v>
      </c>
      <c r="B451">
        <v>7</v>
      </c>
      <c r="C451">
        <v>10</v>
      </c>
      <c r="D451" t="s">
        <v>1113</v>
      </c>
      <c r="E451" t="s">
        <v>158</v>
      </c>
      <c r="F451" t="s">
        <v>581</v>
      </c>
      <c r="G451">
        <v>0</v>
      </c>
      <c r="H451">
        <v>0</v>
      </c>
      <c r="I451">
        <v>1</v>
      </c>
      <c r="J451" t="b">
        <v>0</v>
      </c>
      <c r="L451">
        <v>35</v>
      </c>
      <c r="N451" t="s">
        <v>1107</v>
      </c>
      <c r="O451">
        <v>81</v>
      </c>
      <c r="P451">
        <v>6.34</v>
      </c>
      <c r="Q451" t="s">
        <v>1110</v>
      </c>
    </row>
    <row r="452" spans="1:17">
      <c r="A452" s="2">
        <v>45882</v>
      </c>
      <c r="B452">
        <v>7</v>
      </c>
      <c r="C452">
        <v>11</v>
      </c>
      <c r="D452" t="s">
        <v>1272</v>
      </c>
      <c r="E452" t="s">
        <v>159</v>
      </c>
      <c r="F452" t="s">
        <v>582</v>
      </c>
      <c r="G452">
        <v>1</v>
      </c>
      <c r="H452">
        <v>0</v>
      </c>
      <c r="I452">
        <v>2</v>
      </c>
      <c r="J452" t="b">
        <v>0</v>
      </c>
      <c r="L452">
        <v>35</v>
      </c>
      <c r="N452" t="s">
        <v>1107</v>
      </c>
      <c r="O452">
        <v>76</v>
      </c>
      <c r="P452">
        <v>6.75</v>
      </c>
      <c r="Q452" t="s">
        <v>1110</v>
      </c>
    </row>
    <row r="453" spans="1:17">
      <c r="A453" s="2">
        <v>45882</v>
      </c>
      <c r="B453">
        <v>7</v>
      </c>
      <c r="C453">
        <v>12</v>
      </c>
      <c r="D453" t="s">
        <v>21</v>
      </c>
      <c r="E453" t="s">
        <v>160</v>
      </c>
      <c r="F453" t="s">
        <v>583</v>
      </c>
      <c r="G453">
        <v>0</v>
      </c>
      <c r="H453">
        <v>0</v>
      </c>
      <c r="I453">
        <v>2</v>
      </c>
      <c r="J453" t="b">
        <v>0</v>
      </c>
      <c r="L453">
        <v>35</v>
      </c>
      <c r="N453" t="s">
        <v>1108</v>
      </c>
      <c r="O453">
        <v>66.900000000000006</v>
      </c>
      <c r="P453">
        <v>5.07</v>
      </c>
      <c r="Q453" t="s">
        <v>1110</v>
      </c>
    </row>
    <row r="454" spans="1:17">
      <c r="A454" s="2">
        <v>45882</v>
      </c>
      <c r="B454">
        <v>7</v>
      </c>
      <c r="C454">
        <v>13</v>
      </c>
      <c r="D454" t="s">
        <v>22</v>
      </c>
      <c r="E454" t="s">
        <v>161</v>
      </c>
      <c r="F454" t="s">
        <v>584</v>
      </c>
      <c r="G454">
        <v>1</v>
      </c>
      <c r="H454">
        <v>2</v>
      </c>
      <c r="I454">
        <v>1</v>
      </c>
      <c r="J454" t="b">
        <v>0</v>
      </c>
      <c r="L454">
        <v>35</v>
      </c>
      <c r="M454">
        <v>7</v>
      </c>
      <c r="N454" t="s">
        <v>1107</v>
      </c>
      <c r="O454">
        <v>76.8</v>
      </c>
      <c r="P454">
        <v>5.26</v>
      </c>
      <c r="Q454" t="s">
        <v>1110</v>
      </c>
    </row>
    <row r="455" spans="1:17">
      <c r="A455" s="2">
        <v>45882</v>
      </c>
      <c r="B455">
        <v>7</v>
      </c>
      <c r="C455">
        <v>14</v>
      </c>
      <c r="D455" t="s">
        <v>23</v>
      </c>
      <c r="E455" t="s">
        <v>162</v>
      </c>
      <c r="F455" t="s">
        <v>585</v>
      </c>
      <c r="G455">
        <v>2</v>
      </c>
      <c r="H455">
        <v>0</v>
      </c>
      <c r="I455">
        <v>3</v>
      </c>
      <c r="J455" t="b">
        <v>0</v>
      </c>
      <c r="L455">
        <v>35</v>
      </c>
      <c r="N455" t="s">
        <v>1107</v>
      </c>
      <c r="O455">
        <v>67.900000000000006</v>
      </c>
      <c r="P455">
        <v>6.82</v>
      </c>
      <c r="Q455" t="s">
        <v>1111</v>
      </c>
    </row>
    <row r="456" spans="1:17">
      <c r="A456" s="2">
        <v>45882</v>
      </c>
      <c r="B456">
        <v>7</v>
      </c>
      <c r="C456">
        <v>15</v>
      </c>
      <c r="D456" t="s">
        <v>24</v>
      </c>
      <c r="E456" t="s">
        <v>163</v>
      </c>
      <c r="F456" t="s">
        <v>586</v>
      </c>
      <c r="G456">
        <v>2</v>
      </c>
      <c r="H456">
        <v>0</v>
      </c>
      <c r="I456">
        <v>5</v>
      </c>
      <c r="J456" t="b">
        <v>0</v>
      </c>
      <c r="L456">
        <v>35</v>
      </c>
      <c r="N456" t="s">
        <v>1108</v>
      </c>
      <c r="O456">
        <v>69</v>
      </c>
      <c r="P456">
        <v>5.44</v>
      </c>
      <c r="Q456" t="s">
        <v>1111</v>
      </c>
    </row>
    <row r="457" spans="1:17">
      <c r="A457" s="2">
        <v>45882</v>
      </c>
      <c r="B457">
        <v>7</v>
      </c>
      <c r="C457">
        <v>16</v>
      </c>
      <c r="D457" t="s">
        <v>1273</v>
      </c>
      <c r="E457" t="s">
        <v>164</v>
      </c>
      <c r="F457" t="s">
        <v>587</v>
      </c>
      <c r="G457">
        <v>1</v>
      </c>
      <c r="H457">
        <v>1</v>
      </c>
      <c r="I457">
        <v>5</v>
      </c>
      <c r="J457" t="b">
        <v>0</v>
      </c>
      <c r="L457">
        <v>35</v>
      </c>
      <c r="N457" t="s">
        <v>1107</v>
      </c>
      <c r="O457">
        <v>69.3</v>
      </c>
      <c r="P457">
        <v>5.85</v>
      </c>
      <c r="Q457" t="s">
        <v>1110</v>
      </c>
    </row>
    <row r="458" spans="1:17">
      <c r="A458" s="2">
        <v>45882</v>
      </c>
      <c r="B458">
        <v>7</v>
      </c>
      <c r="C458">
        <v>17</v>
      </c>
      <c r="D458" t="s">
        <v>25</v>
      </c>
      <c r="E458" t="s">
        <v>165</v>
      </c>
      <c r="F458" t="s">
        <v>588</v>
      </c>
      <c r="G458">
        <v>0</v>
      </c>
      <c r="H458">
        <v>1</v>
      </c>
      <c r="I458">
        <v>4</v>
      </c>
      <c r="J458" t="b">
        <v>0</v>
      </c>
      <c r="K458" t="s">
        <v>1104</v>
      </c>
      <c r="L458">
        <v>35</v>
      </c>
      <c r="M458">
        <v>4.0999999999999996</v>
      </c>
      <c r="N458" t="s">
        <v>1109</v>
      </c>
      <c r="O458">
        <v>81.900000000000006</v>
      </c>
      <c r="P458">
        <v>5.26</v>
      </c>
      <c r="Q458" t="s">
        <v>1110</v>
      </c>
    </row>
    <row r="459" spans="1:17">
      <c r="A459" s="2">
        <v>45882</v>
      </c>
      <c r="B459">
        <v>7</v>
      </c>
      <c r="C459">
        <v>18</v>
      </c>
      <c r="D459" t="s">
        <v>26</v>
      </c>
      <c r="E459" t="s">
        <v>166</v>
      </c>
      <c r="F459" t="s">
        <v>589</v>
      </c>
      <c r="G459">
        <v>1</v>
      </c>
      <c r="H459">
        <v>0</v>
      </c>
      <c r="I459">
        <v>5</v>
      </c>
      <c r="J459" t="b">
        <v>0</v>
      </c>
      <c r="K459" t="s">
        <v>1104</v>
      </c>
      <c r="L459">
        <v>35</v>
      </c>
      <c r="N459" t="s">
        <v>1107</v>
      </c>
      <c r="O459">
        <v>84.8</v>
      </c>
      <c r="P459">
        <v>7.41</v>
      </c>
      <c r="Q459" t="s">
        <v>1110</v>
      </c>
    </row>
    <row r="460" spans="1:17">
      <c r="A460" s="2">
        <v>45882</v>
      </c>
      <c r="B460">
        <v>7</v>
      </c>
      <c r="C460">
        <v>19</v>
      </c>
      <c r="D460" t="s">
        <v>27</v>
      </c>
      <c r="E460" t="s">
        <v>167</v>
      </c>
      <c r="F460" t="s">
        <v>590</v>
      </c>
      <c r="G460">
        <v>4</v>
      </c>
      <c r="H460">
        <v>1</v>
      </c>
      <c r="I460">
        <v>8</v>
      </c>
      <c r="J460" t="b">
        <v>0</v>
      </c>
      <c r="K460" t="s">
        <v>1104</v>
      </c>
      <c r="L460">
        <v>35</v>
      </c>
      <c r="M460">
        <v>4.7</v>
      </c>
      <c r="N460" t="s">
        <v>1107</v>
      </c>
      <c r="O460">
        <v>84.3</v>
      </c>
      <c r="P460">
        <v>6.27</v>
      </c>
      <c r="Q460" t="s">
        <v>1111</v>
      </c>
    </row>
    <row r="461" spans="1:17">
      <c r="A461" s="2">
        <v>45882</v>
      </c>
      <c r="B461">
        <v>7</v>
      </c>
      <c r="C461">
        <v>20</v>
      </c>
      <c r="D461" t="s">
        <v>28</v>
      </c>
      <c r="E461" t="s">
        <v>168</v>
      </c>
      <c r="F461" t="s">
        <v>591</v>
      </c>
      <c r="G461">
        <v>2</v>
      </c>
      <c r="H461">
        <v>1</v>
      </c>
      <c r="I461">
        <v>9</v>
      </c>
      <c r="J461" t="b">
        <v>0</v>
      </c>
      <c r="K461" t="s">
        <v>1104</v>
      </c>
      <c r="L461">
        <v>35</v>
      </c>
      <c r="M461">
        <v>4.0999999999999996</v>
      </c>
      <c r="N461" t="s">
        <v>1107</v>
      </c>
      <c r="O461">
        <v>74.7</v>
      </c>
      <c r="P461">
        <v>5.26</v>
      </c>
      <c r="Q461" t="s">
        <v>1110</v>
      </c>
    </row>
    <row r="462" spans="1:17">
      <c r="A462" s="2">
        <v>45882</v>
      </c>
      <c r="B462">
        <v>8</v>
      </c>
      <c r="C462">
        <v>1</v>
      </c>
      <c r="D462" t="s">
        <v>17</v>
      </c>
      <c r="E462" t="s">
        <v>169</v>
      </c>
      <c r="F462" t="s">
        <v>592</v>
      </c>
      <c r="G462">
        <v>0</v>
      </c>
      <c r="H462">
        <v>0</v>
      </c>
      <c r="I462">
        <v>0</v>
      </c>
      <c r="J462" t="b">
        <v>0</v>
      </c>
      <c r="L462">
        <v>36</v>
      </c>
      <c r="N462" t="s">
        <v>1107</v>
      </c>
      <c r="O462">
        <v>81.7</v>
      </c>
      <c r="P462">
        <v>7.96</v>
      </c>
      <c r="Q462" t="s">
        <v>1110</v>
      </c>
    </row>
    <row r="463" spans="1:17">
      <c r="A463" s="2">
        <v>45882</v>
      </c>
      <c r="B463">
        <v>8</v>
      </c>
      <c r="C463">
        <v>2</v>
      </c>
      <c r="D463" t="s">
        <v>1269</v>
      </c>
      <c r="E463" t="s">
        <v>170</v>
      </c>
      <c r="F463" t="s">
        <v>593</v>
      </c>
      <c r="G463">
        <v>5</v>
      </c>
      <c r="H463">
        <v>0</v>
      </c>
      <c r="I463">
        <v>5</v>
      </c>
      <c r="J463" t="b">
        <v>0</v>
      </c>
      <c r="L463">
        <v>36</v>
      </c>
      <c r="N463" t="s">
        <v>1109</v>
      </c>
      <c r="O463">
        <v>78.900000000000006</v>
      </c>
      <c r="P463">
        <v>5.27</v>
      </c>
      <c r="Q463" t="s">
        <v>1110</v>
      </c>
    </row>
    <row r="464" spans="1:17">
      <c r="A464" s="2">
        <v>45882</v>
      </c>
      <c r="B464">
        <v>8</v>
      </c>
      <c r="C464">
        <v>3</v>
      </c>
      <c r="D464" t="s">
        <v>18</v>
      </c>
      <c r="E464" t="s">
        <v>171</v>
      </c>
      <c r="F464" t="s">
        <v>594</v>
      </c>
      <c r="G464">
        <v>2</v>
      </c>
      <c r="H464">
        <v>3</v>
      </c>
      <c r="I464">
        <v>4</v>
      </c>
      <c r="J464" t="b">
        <v>0</v>
      </c>
      <c r="L464">
        <v>36</v>
      </c>
      <c r="M464" t="s">
        <v>1202</v>
      </c>
      <c r="N464" t="s">
        <v>1108</v>
      </c>
      <c r="O464">
        <v>70.400000000000006</v>
      </c>
      <c r="P464">
        <v>6.67</v>
      </c>
      <c r="Q464" t="s">
        <v>1110</v>
      </c>
    </row>
    <row r="465" spans="1:17">
      <c r="A465" s="2">
        <v>45882</v>
      </c>
      <c r="B465">
        <v>8</v>
      </c>
      <c r="C465">
        <v>4</v>
      </c>
      <c r="D465" t="s">
        <v>19</v>
      </c>
      <c r="E465" t="s">
        <v>172</v>
      </c>
      <c r="F465" t="s">
        <v>172</v>
      </c>
      <c r="G465">
        <v>3</v>
      </c>
      <c r="H465">
        <v>0</v>
      </c>
      <c r="I465">
        <v>7</v>
      </c>
      <c r="J465" t="b">
        <v>0</v>
      </c>
      <c r="L465">
        <v>36</v>
      </c>
      <c r="N465" t="s">
        <v>1107</v>
      </c>
      <c r="O465">
        <v>63.4</v>
      </c>
      <c r="P465">
        <v>5.56</v>
      </c>
      <c r="Q465" t="s">
        <v>1110</v>
      </c>
    </row>
    <row r="466" spans="1:17">
      <c r="A466" s="2">
        <v>45882</v>
      </c>
      <c r="B466">
        <v>8</v>
      </c>
      <c r="C466">
        <v>5</v>
      </c>
      <c r="D466" t="s">
        <v>1115</v>
      </c>
      <c r="E466" t="s">
        <v>173</v>
      </c>
      <c r="F466" t="s">
        <v>173</v>
      </c>
      <c r="G466">
        <v>0</v>
      </c>
      <c r="H466">
        <v>4</v>
      </c>
      <c r="I466">
        <v>3</v>
      </c>
      <c r="J466" t="b">
        <v>0</v>
      </c>
      <c r="L466">
        <v>36</v>
      </c>
      <c r="M466">
        <v>10</v>
      </c>
      <c r="N466" t="s">
        <v>1107</v>
      </c>
      <c r="O466">
        <v>61.1</v>
      </c>
      <c r="P466">
        <v>7.48</v>
      </c>
      <c r="Q466" t="s">
        <v>1111</v>
      </c>
    </row>
    <row r="467" spans="1:17">
      <c r="A467" s="2">
        <v>45882</v>
      </c>
      <c r="B467">
        <v>8</v>
      </c>
      <c r="C467">
        <v>6</v>
      </c>
      <c r="D467" t="s">
        <v>1270</v>
      </c>
      <c r="E467" t="s">
        <v>174</v>
      </c>
      <c r="F467" t="s">
        <v>595</v>
      </c>
      <c r="G467">
        <v>3</v>
      </c>
      <c r="H467">
        <v>2</v>
      </c>
      <c r="I467">
        <v>4</v>
      </c>
      <c r="J467" t="b">
        <v>0</v>
      </c>
      <c r="L467">
        <v>36</v>
      </c>
      <c r="N467" t="s">
        <v>1107</v>
      </c>
      <c r="O467">
        <v>74</v>
      </c>
      <c r="P467">
        <v>6.39</v>
      </c>
      <c r="Q467" t="s">
        <v>1110</v>
      </c>
    </row>
    <row r="468" spans="1:17">
      <c r="A468" s="2">
        <v>45882</v>
      </c>
      <c r="B468">
        <v>8</v>
      </c>
      <c r="C468">
        <v>7</v>
      </c>
      <c r="D468" t="s">
        <v>1114</v>
      </c>
      <c r="E468" t="s">
        <v>175</v>
      </c>
      <c r="F468" t="s">
        <v>596</v>
      </c>
      <c r="G468">
        <v>0</v>
      </c>
      <c r="H468">
        <v>0</v>
      </c>
      <c r="I468">
        <v>4</v>
      </c>
      <c r="J468" t="b">
        <v>0</v>
      </c>
      <c r="L468">
        <v>36</v>
      </c>
      <c r="N468" t="s">
        <v>1107</v>
      </c>
      <c r="O468">
        <v>66.599999999999994</v>
      </c>
      <c r="P468">
        <v>7.87</v>
      </c>
      <c r="Q468" t="s">
        <v>1111</v>
      </c>
    </row>
    <row r="469" spans="1:17">
      <c r="A469" s="2">
        <v>45882</v>
      </c>
      <c r="B469">
        <v>8</v>
      </c>
      <c r="C469">
        <v>8</v>
      </c>
      <c r="D469" t="s">
        <v>1271</v>
      </c>
      <c r="E469" t="s">
        <v>176</v>
      </c>
      <c r="F469" t="s">
        <v>597</v>
      </c>
      <c r="G469">
        <v>3</v>
      </c>
      <c r="H469">
        <v>3</v>
      </c>
      <c r="I469">
        <v>4</v>
      </c>
      <c r="J469" t="b">
        <v>0</v>
      </c>
      <c r="L469">
        <v>36</v>
      </c>
      <c r="M469" t="s">
        <v>1210</v>
      </c>
      <c r="N469" t="s">
        <v>1107</v>
      </c>
      <c r="O469">
        <v>76.3</v>
      </c>
      <c r="P469">
        <v>7.68</v>
      </c>
      <c r="Q469" t="s">
        <v>1110</v>
      </c>
    </row>
    <row r="470" spans="1:17">
      <c r="A470" s="2">
        <v>45882</v>
      </c>
      <c r="B470">
        <v>8</v>
      </c>
      <c r="C470">
        <v>9</v>
      </c>
      <c r="D470" t="s">
        <v>20</v>
      </c>
      <c r="E470" t="s">
        <v>177</v>
      </c>
      <c r="F470" t="s">
        <v>598</v>
      </c>
      <c r="G470">
        <v>5</v>
      </c>
      <c r="H470">
        <v>3</v>
      </c>
      <c r="I470">
        <v>6</v>
      </c>
      <c r="J470" t="b">
        <v>0</v>
      </c>
      <c r="L470">
        <v>36</v>
      </c>
      <c r="N470" t="s">
        <v>1107</v>
      </c>
      <c r="O470">
        <v>77.2</v>
      </c>
      <c r="P470">
        <v>5.73</v>
      </c>
      <c r="Q470" t="s">
        <v>1110</v>
      </c>
    </row>
    <row r="471" spans="1:17">
      <c r="A471" s="2">
        <v>45882</v>
      </c>
      <c r="B471">
        <v>8</v>
      </c>
      <c r="C471">
        <v>10</v>
      </c>
      <c r="D471" t="s">
        <v>1113</v>
      </c>
      <c r="E471" t="s">
        <v>178</v>
      </c>
      <c r="F471" t="s">
        <v>599</v>
      </c>
      <c r="G471">
        <v>0</v>
      </c>
      <c r="H471">
        <v>0</v>
      </c>
      <c r="I471">
        <v>6</v>
      </c>
      <c r="J471" t="b">
        <v>0</v>
      </c>
      <c r="L471">
        <v>36</v>
      </c>
      <c r="N471" t="s">
        <v>1107</v>
      </c>
      <c r="O471">
        <v>84.9</v>
      </c>
      <c r="P471">
        <v>5.2</v>
      </c>
      <c r="Q471" t="s">
        <v>1110</v>
      </c>
    </row>
    <row r="472" spans="1:17">
      <c r="A472" s="2">
        <v>45882</v>
      </c>
      <c r="B472">
        <v>8</v>
      </c>
      <c r="C472">
        <v>11</v>
      </c>
      <c r="D472" t="s">
        <v>1272</v>
      </c>
      <c r="E472" t="s">
        <v>179</v>
      </c>
      <c r="F472" t="s">
        <v>600</v>
      </c>
      <c r="G472">
        <v>0</v>
      </c>
      <c r="H472">
        <v>1</v>
      </c>
      <c r="I472">
        <v>5</v>
      </c>
      <c r="J472" t="b">
        <v>0</v>
      </c>
      <c r="L472">
        <v>36</v>
      </c>
      <c r="M472" t="s">
        <v>1207</v>
      </c>
      <c r="N472" t="s">
        <v>1107</v>
      </c>
      <c r="O472">
        <v>74.099999999999994</v>
      </c>
      <c r="P472">
        <v>7.61</v>
      </c>
      <c r="Q472" t="s">
        <v>1110</v>
      </c>
    </row>
    <row r="473" spans="1:17">
      <c r="A473" s="2">
        <v>45882</v>
      </c>
      <c r="B473">
        <v>8</v>
      </c>
      <c r="C473">
        <v>12</v>
      </c>
      <c r="D473" t="s">
        <v>21</v>
      </c>
      <c r="E473" t="s">
        <v>180</v>
      </c>
      <c r="F473" t="s">
        <v>601</v>
      </c>
      <c r="G473">
        <v>5</v>
      </c>
      <c r="H473">
        <v>4</v>
      </c>
      <c r="I473">
        <v>6</v>
      </c>
      <c r="J473" t="b">
        <v>0</v>
      </c>
      <c r="L473">
        <v>36</v>
      </c>
      <c r="M473" t="s">
        <v>1212</v>
      </c>
      <c r="N473" t="s">
        <v>1107</v>
      </c>
      <c r="O473">
        <v>77.400000000000006</v>
      </c>
      <c r="P473">
        <v>5.36</v>
      </c>
      <c r="Q473" t="s">
        <v>1110</v>
      </c>
    </row>
    <row r="474" spans="1:17">
      <c r="A474" s="2">
        <v>45882</v>
      </c>
      <c r="B474">
        <v>8</v>
      </c>
      <c r="C474">
        <v>13</v>
      </c>
      <c r="D474" t="s">
        <v>22</v>
      </c>
      <c r="E474" t="s">
        <v>181</v>
      </c>
      <c r="F474" t="s">
        <v>602</v>
      </c>
      <c r="G474">
        <v>2</v>
      </c>
      <c r="H474">
        <v>5</v>
      </c>
      <c r="I474">
        <v>3</v>
      </c>
      <c r="J474" t="b">
        <v>0</v>
      </c>
      <c r="L474">
        <v>36</v>
      </c>
      <c r="M474" t="s">
        <v>1202</v>
      </c>
      <c r="N474" t="s">
        <v>1107</v>
      </c>
      <c r="O474">
        <v>81.099999999999994</v>
      </c>
      <c r="P474">
        <v>5.49</v>
      </c>
      <c r="Q474" t="s">
        <v>1110</v>
      </c>
    </row>
    <row r="475" spans="1:17">
      <c r="A475" s="2">
        <v>45882</v>
      </c>
      <c r="B475">
        <v>8</v>
      </c>
      <c r="C475">
        <v>14</v>
      </c>
      <c r="D475" t="s">
        <v>23</v>
      </c>
      <c r="E475" t="s">
        <v>182</v>
      </c>
      <c r="F475" t="s">
        <v>603</v>
      </c>
      <c r="G475">
        <v>3</v>
      </c>
      <c r="H475">
        <v>2</v>
      </c>
      <c r="I475">
        <v>4</v>
      </c>
      <c r="J475" t="b">
        <v>0</v>
      </c>
      <c r="L475">
        <v>36</v>
      </c>
      <c r="M475" t="s">
        <v>1204</v>
      </c>
      <c r="N475" t="s">
        <v>1107</v>
      </c>
      <c r="O475">
        <v>82</v>
      </c>
      <c r="P475">
        <v>5.41</v>
      </c>
      <c r="Q475" t="s">
        <v>1110</v>
      </c>
    </row>
    <row r="476" spans="1:17">
      <c r="A476" s="2">
        <v>45882</v>
      </c>
      <c r="B476">
        <v>8</v>
      </c>
      <c r="C476">
        <v>15</v>
      </c>
      <c r="D476" t="s">
        <v>24</v>
      </c>
      <c r="E476" t="s">
        <v>183</v>
      </c>
      <c r="F476" t="s">
        <v>604</v>
      </c>
      <c r="G476">
        <v>0</v>
      </c>
      <c r="H476">
        <v>3</v>
      </c>
      <c r="I476">
        <v>1</v>
      </c>
      <c r="J476" t="b">
        <v>0</v>
      </c>
      <c r="L476">
        <v>36</v>
      </c>
      <c r="M476">
        <v>10</v>
      </c>
      <c r="N476" t="s">
        <v>1107</v>
      </c>
      <c r="O476">
        <v>70.5</v>
      </c>
      <c r="P476">
        <v>7.74</v>
      </c>
      <c r="Q476" t="s">
        <v>1110</v>
      </c>
    </row>
    <row r="477" spans="1:17">
      <c r="A477" s="2">
        <v>45882</v>
      </c>
      <c r="B477">
        <v>8</v>
      </c>
      <c r="C477">
        <v>16</v>
      </c>
      <c r="D477" t="s">
        <v>1273</v>
      </c>
      <c r="E477" t="s">
        <v>184</v>
      </c>
      <c r="F477" t="s">
        <v>605</v>
      </c>
      <c r="G477">
        <v>5</v>
      </c>
      <c r="H477">
        <v>0</v>
      </c>
      <c r="I477">
        <v>6</v>
      </c>
      <c r="J477" t="b">
        <v>0</v>
      </c>
      <c r="L477">
        <v>36</v>
      </c>
      <c r="N477" t="s">
        <v>1107</v>
      </c>
      <c r="O477">
        <v>73.2</v>
      </c>
      <c r="P477">
        <v>7.81</v>
      </c>
      <c r="Q477" t="s">
        <v>1110</v>
      </c>
    </row>
    <row r="478" spans="1:17">
      <c r="A478" s="2">
        <v>45882</v>
      </c>
      <c r="B478">
        <v>8</v>
      </c>
      <c r="C478">
        <v>17</v>
      </c>
      <c r="D478" t="s">
        <v>25</v>
      </c>
      <c r="E478" t="s">
        <v>185</v>
      </c>
      <c r="F478" t="s">
        <v>606</v>
      </c>
      <c r="G478">
        <v>5</v>
      </c>
      <c r="H478">
        <v>4</v>
      </c>
      <c r="I478">
        <v>7</v>
      </c>
      <c r="J478" t="b">
        <v>0</v>
      </c>
      <c r="K478" t="s">
        <v>1104</v>
      </c>
      <c r="L478">
        <v>36</v>
      </c>
      <c r="M478">
        <v>5</v>
      </c>
      <c r="N478" t="s">
        <v>1107</v>
      </c>
      <c r="O478">
        <v>64.599999999999994</v>
      </c>
      <c r="P478">
        <v>5.28</v>
      </c>
      <c r="Q478" t="s">
        <v>1110</v>
      </c>
    </row>
    <row r="479" spans="1:17">
      <c r="A479" s="2">
        <v>45882</v>
      </c>
      <c r="B479">
        <v>8</v>
      </c>
      <c r="C479">
        <v>18</v>
      </c>
      <c r="D479" t="s">
        <v>26</v>
      </c>
      <c r="E479" t="s">
        <v>186</v>
      </c>
      <c r="F479" t="s">
        <v>607</v>
      </c>
      <c r="G479">
        <v>3</v>
      </c>
      <c r="H479">
        <v>3</v>
      </c>
      <c r="I479">
        <v>7</v>
      </c>
      <c r="J479" t="b">
        <v>0</v>
      </c>
      <c r="K479" t="s">
        <v>1104</v>
      </c>
      <c r="L479">
        <v>36</v>
      </c>
      <c r="M479" t="s">
        <v>1221</v>
      </c>
      <c r="N479" t="s">
        <v>1107</v>
      </c>
      <c r="O479">
        <v>81.8</v>
      </c>
      <c r="P479">
        <v>7.48</v>
      </c>
      <c r="Q479" t="s">
        <v>1110</v>
      </c>
    </row>
    <row r="480" spans="1:17">
      <c r="A480" s="2">
        <v>45882</v>
      </c>
      <c r="B480">
        <v>8</v>
      </c>
      <c r="C480">
        <v>19</v>
      </c>
      <c r="D480" t="s">
        <v>27</v>
      </c>
      <c r="E480" t="s">
        <v>187</v>
      </c>
      <c r="F480" t="s">
        <v>608</v>
      </c>
      <c r="G480">
        <v>2</v>
      </c>
      <c r="H480">
        <v>3</v>
      </c>
      <c r="I480">
        <v>6</v>
      </c>
      <c r="J480" t="b">
        <v>0</v>
      </c>
      <c r="K480" t="s">
        <v>1104</v>
      </c>
      <c r="L480">
        <v>36</v>
      </c>
      <c r="M480">
        <v>5</v>
      </c>
      <c r="N480" t="s">
        <v>1107</v>
      </c>
      <c r="O480">
        <v>77.099999999999994</v>
      </c>
      <c r="P480">
        <v>7.07</v>
      </c>
      <c r="Q480" t="s">
        <v>1110</v>
      </c>
    </row>
    <row r="481" spans="1:17">
      <c r="A481" s="2">
        <v>45882</v>
      </c>
      <c r="B481">
        <v>8</v>
      </c>
      <c r="C481">
        <v>20</v>
      </c>
      <c r="D481" t="s">
        <v>28</v>
      </c>
      <c r="E481" t="s">
        <v>188</v>
      </c>
      <c r="F481" t="s">
        <v>609</v>
      </c>
      <c r="G481">
        <v>3</v>
      </c>
      <c r="H481">
        <v>3</v>
      </c>
      <c r="I481">
        <v>6</v>
      </c>
      <c r="J481" t="b">
        <v>0</v>
      </c>
      <c r="K481" t="s">
        <v>1104</v>
      </c>
      <c r="L481">
        <v>36</v>
      </c>
      <c r="M481" t="s">
        <v>1223</v>
      </c>
      <c r="N481" t="s">
        <v>1107</v>
      </c>
      <c r="O481">
        <v>80.599999999999994</v>
      </c>
      <c r="P481">
        <v>5.04</v>
      </c>
      <c r="Q481" t="s">
        <v>1110</v>
      </c>
    </row>
    <row r="482" spans="1:17">
      <c r="A482" s="2">
        <v>45883</v>
      </c>
      <c r="B482">
        <v>1</v>
      </c>
      <c r="C482">
        <v>1</v>
      </c>
      <c r="D482" t="s">
        <v>17</v>
      </c>
      <c r="E482" t="s">
        <v>29</v>
      </c>
      <c r="F482" t="s">
        <v>29</v>
      </c>
      <c r="G482">
        <v>0</v>
      </c>
      <c r="H482">
        <v>0</v>
      </c>
      <c r="I482">
        <v>0</v>
      </c>
      <c r="J482" t="b">
        <v>0</v>
      </c>
      <c r="L482">
        <v>33</v>
      </c>
      <c r="N482" t="s">
        <v>1107</v>
      </c>
      <c r="O482">
        <v>72.099999999999994</v>
      </c>
      <c r="P482">
        <v>6.02</v>
      </c>
      <c r="Q482" t="s">
        <v>1111</v>
      </c>
    </row>
    <row r="483" spans="1:17">
      <c r="A483" s="2">
        <v>45883</v>
      </c>
      <c r="B483">
        <v>1</v>
      </c>
      <c r="C483">
        <v>2</v>
      </c>
      <c r="D483" t="s">
        <v>1269</v>
      </c>
      <c r="E483" t="s">
        <v>30</v>
      </c>
      <c r="F483" t="s">
        <v>610</v>
      </c>
      <c r="G483">
        <v>5</v>
      </c>
      <c r="H483">
        <v>0</v>
      </c>
      <c r="I483">
        <v>5</v>
      </c>
      <c r="J483" t="b">
        <v>0</v>
      </c>
      <c r="L483">
        <v>33</v>
      </c>
      <c r="N483" t="s">
        <v>1107</v>
      </c>
      <c r="O483">
        <v>63.9</v>
      </c>
      <c r="P483">
        <v>5.66</v>
      </c>
      <c r="Q483" t="s">
        <v>1110</v>
      </c>
    </row>
    <row r="484" spans="1:17">
      <c r="A484" s="2">
        <v>45883</v>
      </c>
      <c r="B484">
        <v>1</v>
      </c>
      <c r="C484">
        <v>3</v>
      </c>
      <c r="D484" t="s">
        <v>18</v>
      </c>
      <c r="E484" t="s">
        <v>31</v>
      </c>
      <c r="F484" t="s">
        <v>190</v>
      </c>
      <c r="G484">
        <v>5</v>
      </c>
      <c r="H484">
        <v>1</v>
      </c>
      <c r="I484">
        <v>9</v>
      </c>
      <c r="J484" t="b">
        <v>0</v>
      </c>
      <c r="L484">
        <v>33</v>
      </c>
      <c r="M484">
        <v>10</v>
      </c>
      <c r="N484" t="s">
        <v>1107</v>
      </c>
      <c r="O484">
        <v>75.3</v>
      </c>
      <c r="P484">
        <v>7.49</v>
      </c>
      <c r="Q484" t="s">
        <v>1110</v>
      </c>
    </row>
    <row r="485" spans="1:17">
      <c r="A485" s="2">
        <v>45883</v>
      </c>
      <c r="B485">
        <v>1</v>
      </c>
      <c r="C485">
        <v>4</v>
      </c>
      <c r="D485" t="s">
        <v>19</v>
      </c>
      <c r="E485" t="s">
        <v>32</v>
      </c>
      <c r="F485" t="s">
        <v>611</v>
      </c>
      <c r="G485">
        <v>0</v>
      </c>
      <c r="H485">
        <v>0</v>
      </c>
      <c r="I485">
        <v>9</v>
      </c>
      <c r="J485" t="b">
        <v>0</v>
      </c>
      <c r="L485">
        <v>33</v>
      </c>
      <c r="N485" t="s">
        <v>1107</v>
      </c>
      <c r="O485">
        <v>73.8</v>
      </c>
      <c r="P485">
        <v>7.27</v>
      </c>
      <c r="Q485" t="s">
        <v>1110</v>
      </c>
    </row>
    <row r="486" spans="1:17">
      <c r="A486" s="2">
        <v>45883</v>
      </c>
      <c r="B486">
        <v>1</v>
      </c>
      <c r="C486">
        <v>5</v>
      </c>
      <c r="D486" t="s">
        <v>1115</v>
      </c>
      <c r="E486" t="s">
        <v>33</v>
      </c>
      <c r="F486" t="s">
        <v>612</v>
      </c>
      <c r="G486">
        <v>3</v>
      </c>
      <c r="H486">
        <v>0</v>
      </c>
      <c r="I486">
        <v>12</v>
      </c>
      <c r="J486" t="b">
        <v>0</v>
      </c>
      <c r="L486">
        <v>33</v>
      </c>
      <c r="N486" t="s">
        <v>1107</v>
      </c>
      <c r="O486">
        <v>61.9</v>
      </c>
      <c r="P486">
        <v>7.46</v>
      </c>
      <c r="Q486" t="s">
        <v>1111</v>
      </c>
    </row>
    <row r="487" spans="1:17">
      <c r="A487" s="2">
        <v>45883</v>
      </c>
      <c r="B487">
        <v>1</v>
      </c>
      <c r="C487">
        <v>6</v>
      </c>
      <c r="D487" t="s">
        <v>1270</v>
      </c>
      <c r="E487" t="s">
        <v>34</v>
      </c>
      <c r="F487" t="s">
        <v>613</v>
      </c>
      <c r="G487">
        <v>2</v>
      </c>
      <c r="H487">
        <v>5</v>
      </c>
      <c r="I487">
        <v>9</v>
      </c>
      <c r="J487" t="b">
        <v>0</v>
      </c>
      <c r="L487">
        <v>33</v>
      </c>
      <c r="M487">
        <v>10</v>
      </c>
      <c r="N487" t="s">
        <v>1107</v>
      </c>
      <c r="O487">
        <v>67.8</v>
      </c>
      <c r="P487">
        <v>6.09</v>
      </c>
      <c r="Q487" t="s">
        <v>1111</v>
      </c>
    </row>
    <row r="488" spans="1:17">
      <c r="A488" s="2">
        <v>45883</v>
      </c>
      <c r="B488">
        <v>1</v>
      </c>
      <c r="C488">
        <v>7</v>
      </c>
      <c r="D488" t="s">
        <v>1114</v>
      </c>
      <c r="E488" t="s">
        <v>35</v>
      </c>
      <c r="F488" t="s">
        <v>614</v>
      </c>
      <c r="G488">
        <v>0</v>
      </c>
      <c r="H488">
        <v>4</v>
      </c>
      <c r="I488">
        <v>5</v>
      </c>
      <c r="J488" t="b">
        <v>0</v>
      </c>
      <c r="L488">
        <v>33</v>
      </c>
      <c r="M488">
        <v>9.8000000000000007</v>
      </c>
      <c r="N488" t="s">
        <v>1107</v>
      </c>
      <c r="O488">
        <v>74.900000000000006</v>
      </c>
      <c r="P488">
        <v>7.29</v>
      </c>
      <c r="Q488" t="s">
        <v>1110</v>
      </c>
    </row>
    <row r="489" spans="1:17">
      <c r="A489" s="2">
        <v>45883</v>
      </c>
      <c r="B489">
        <v>1</v>
      </c>
      <c r="C489">
        <v>8</v>
      </c>
      <c r="D489" t="s">
        <v>1271</v>
      </c>
      <c r="E489" t="s">
        <v>36</v>
      </c>
      <c r="F489" t="s">
        <v>615</v>
      </c>
      <c r="G489">
        <v>4</v>
      </c>
      <c r="H489">
        <v>4</v>
      </c>
      <c r="I489">
        <v>5</v>
      </c>
      <c r="J489" t="b">
        <v>0</v>
      </c>
      <c r="L489">
        <v>33</v>
      </c>
      <c r="M489">
        <v>10</v>
      </c>
      <c r="N489" t="s">
        <v>1107</v>
      </c>
      <c r="O489">
        <v>60.7</v>
      </c>
      <c r="P489">
        <v>7.44</v>
      </c>
      <c r="Q489" t="s">
        <v>1110</v>
      </c>
    </row>
    <row r="490" spans="1:17">
      <c r="A490" s="2">
        <v>45883</v>
      </c>
      <c r="B490">
        <v>1</v>
      </c>
      <c r="C490">
        <v>9</v>
      </c>
      <c r="D490" t="s">
        <v>20</v>
      </c>
      <c r="E490" t="s">
        <v>37</v>
      </c>
      <c r="F490" t="s">
        <v>616</v>
      </c>
      <c r="G490">
        <v>3</v>
      </c>
      <c r="H490">
        <v>0</v>
      </c>
      <c r="I490">
        <v>8</v>
      </c>
      <c r="J490" t="b">
        <v>0</v>
      </c>
      <c r="L490">
        <v>33</v>
      </c>
      <c r="N490" t="s">
        <v>1107</v>
      </c>
      <c r="O490">
        <v>63.6</v>
      </c>
      <c r="P490">
        <v>5.68</v>
      </c>
      <c r="Q490" t="s">
        <v>1110</v>
      </c>
    </row>
    <row r="491" spans="1:17">
      <c r="A491" s="2">
        <v>45883</v>
      </c>
      <c r="B491">
        <v>1</v>
      </c>
      <c r="C491">
        <v>10</v>
      </c>
      <c r="D491" t="s">
        <v>1113</v>
      </c>
      <c r="E491" t="s">
        <v>38</v>
      </c>
      <c r="F491" t="s">
        <v>617</v>
      </c>
      <c r="G491">
        <v>3</v>
      </c>
      <c r="H491">
        <v>5</v>
      </c>
      <c r="I491">
        <v>6</v>
      </c>
      <c r="J491" t="b">
        <v>0</v>
      </c>
      <c r="L491">
        <v>33</v>
      </c>
      <c r="M491">
        <v>10</v>
      </c>
      <c r="N491" t="s">
        <v>1107</v>
      </c>
      <c r="O491">
        <v>62</v>
      </c>
      <c r="P491">
        <v>7.07</v>
      </c>
      <c r="Q491" t="s">
        <v>1110</v>
      </c>
    </row>
    <row r="492" spans="1:17">
      <c r="A492" s="2">
        <v>45883</v>
      </c>
      <c r="B492">
        <v>1</v>
      </c>
      <c r="C492">
        <v>11</v>
      </c>
      <c r="D492" t="s">
        <v>1272</v>
      </c>
      <c r="E492" t="s">
        <v>39</v>
      </c>
      <c r="F492" t="s">
        <v>618</v>
      </c>
      <c r="G492">
        <v>0</v>
      </c>
      <c r="H492">
        <v>5</v>
      </c>
      <c r="I492">
        <v>1</v>
      </c>
      <c r="J492" t="b">
        <v>0</v>
      </c>
      <c r="L492">
        <v>33</v>
      </c>
      <c r="M492">
        <v>9.9</v>
      </c>
      <c r="N492" t="s">
        <v>1107</v>
      </c>
      <c r="O492">
        <v>79.400000000000006</v>
      </c>
      <c r="P492">
        <v>7.27</v>
      </c>
      <c r="Q492" t="s">
        <v>1110</v>
      </c>
    </row>
    <row r="493" spans="1:17">
      <c r="A493" s="2">
        <v>45883</v>
      </c>
      <c r="B493">
        <v>1</v>
      </c>
      <c r="C493">
        <v>12</v>
      </c>
      <c r="D493" t="s">
        <v>21</v>
      </c>
      <c r="E493" t="s">
        <v>40</v>
      </c>
      <c r="F493" t="s">
        <v>619</v>
      </c>
      <c r="G493">
        <v>2</v>
      </c>
      <c r="H493">
        <v>1</v>
      </c>
      <c r="I493">
        <v>2</v>
      </c>
      <c r="J493" t="b">
        <v>0</v>
      </c>
      <c r="L493">
        <v>33</v>
      </c>
      <c r="M493">
        <v>9.4</v>
      </c>
      <c r="N493" t="s">
        <v>1107</v>
      </c>
      <c r="O493">
        <v>79.8</v>
      </c>
      <c r="P493">
        <v>6.54</v>
      </c>
      <c r="Q493" t="s">
        <v>1110</v>
      </c>
    </row>
    <row r="494" spans="1:17">
      <c r="A494" s="2">
        <v>45883</v>
      </c>
      <c r="B494">
        <v>1</v>
      </c>
      <c r="C494">
        <v>13</v>
      </c>
      <c r="D494" t="s">
        <v>22</v>
      </c>
      <c r="E494" t="s">
        <v>41</v>
      </c>
      <c r="F494" t="s">
        <v>620</v>
      </c>
      <c r="G494">
        <v>1</v>
      </c>
      <c r="H494">
        <v>2</v>
      </c>
      <c r="I494">
        <v>1</v>
      </c>
      <c r="J494" t="b">
        <v>0</v>
      </c>
      <c r="L494">
        <v>33</v>
      </c>
      <c r="M494">
        <v>9.5</v>
      </c>
      <c r="N494" t="s">
        <v>1107</v>
      </c>
      <c r="O494">
        <v>66.3</v>
      </c>
      <c r="P494">
        <v>5.2</v>
      </c>
      <c r="Q494" t="s">
        <v>1110</v>
      </c>
    </row>
    <row r="495" spans="1:17">
      <c r="A495" s="2">
        <v>45883</v>
      </c>
      <c r="B495">
        <v>1</v>
      </c>
      <c r="C495">
        <v>14</v>
      </c>
      <c r="D495" t="s">
        <v>23</v>
      </c>
      <c r="E495" t="s">
        <v>42</v>
      </c>
      <c r="F495" t="s">
        <v>621</v>
      </c>
      <c r="G495">
        <v>1</v>
      </c>
      <c r="H495">
        <v>1</v>
      </c>
      <c r="I495">
        <v>1</v>
      </c>
      <c r="J495" t="b">
        <v>0</v>
      </c>
      <c r="L495">
        <v>33</v>
      </c>
      <c r="M495">
        <v>9.6999999999999993</v>
      </c>
      <c r="N495" t="s">
        <v>1107</v>
      </c>
      <c r="O495">
        <v>79.599999999999994</v>
      </c>
      <c r="P495">
        <v>7.76</v>
      </c>
      <c r="Q495" t="s">
        <v>1110</v>
      </c>
    </row>
    <row r="496" spans="1:17">
      <c r="A496" s="2">
        <v>45883</v>
      </c>
      <c r="B496">
        <v>1</v>
      </c>
      <c r="C496">
        <v>15</v>
      </c>
      <c r="D496" t="s">
        <v>24</v>
      </c>
      <c r="E496" t="s">
        <v>43</v>
      </c>
      <c r="F496" t="s">
        <v>622</v>
      </c>
      <c r="G496">
        <v>4</v>
      </c>
      <c r="H496">
        <v>1</v>
      </c>
      <c r="I496">
        <v>4</v>
      </c>
      <c r="J496" t="b">
        <v>0</v>
      </c>
      <c r="L496">
        <v>33</v>
      </c>
      <c r="M496">
        <v>9.4</v>
      </c>
      <c r="N496" t="s">
        <v>1108</v>
      </c>
      <c r="O496">
        <v>64.599999999999994</v>
      </c>
      <c r="P496">
        <v>6.05</v>
      </c>
      <c r="Q496" t="s">
        <v>1110</v>
      </c>
    </row>
    <row r="497" spans="1:17">
      <c r="A497" s="2">
        <v>45883</v>
      </c>
      <c r="B497">
        <v>1</v>
      </c>
      <c r="C497">
        <v>16</v>
      </c>
      <c r="D497" t="s">
        <v>1273</v>
      </c>
      <c r="E497" t="s">
        <v>44</v>
      </c>
      <c r="F497" t="s">
        <v>623</v>
      </c>
      <c r="G497">
        <v>4</v>
      </c>
      <c r="H497">
        <v>2</v>
      </c>
      <c r="I497">
        <v>6</v>
      </c>
      <c r="J497" t="b">
        <v>0</v>
      </c>
      <c r="L497">
        <v>33</v>
      </c>
      <c r="M497">
        <v>10</v>
      </c>
      <c r="N497" t="s">
        <v>1107</v>
      </c>
      <c r="O497">
        <v>83.5</v>
      </c>
      <c r="P497">
        <v>7.85</v>
      </c>
      <c r="Q497" t="s">
        <v>1110</v>
      </c>
    </row>
    <row r="498" spans="1:17">
      <c r="A498" s="2">
        <v>45883</v>
      </c>
      <c r="B498">
        <v>1</v>
      </c>
      <c r="C498">
        <v>17</v>
      </c>
      <c r="D498" t="s">
        <v>25</v>
      </c>
      <c r="E498" t="s">
        <v>45</v>
      </c>
      <c r="F498" t="s">
        <v>624</v>
      </c>
      <c r="G498">
        <v>4</v>
      </c>
      <c r="H498">
        <v>3</v>
      </c>
      <c r="I498">
        <v>7</v>
      </c>
      <c r="J498" t="b">
        <v>0</v>
      </c>
      <c r="K498" t="s">
        <v>1104</v>
      </c>
      <c r="L498">
        <v>33</v>
      </c>
      <c r="M498">
        <v>5.9</v>
      </c>
      <c r="N498" t="s">
        <v>1107</v>
      </c>
      <c r="O498">
        <v>72.5</v>
      </c>
      <c r="P498">
        <v>7.19</v>
      </c>
      <c r="Q498" t="s">
        <v>1110</v>
      </c>
    </row>
    <row r="499" spans="1:17">
      <c r="A499" s="2">
        <v>45883</v>
      </c>
      <c r="B499">
        <v>1</v>
      </c>
      <c r="C499">
        <v>18</v>
      </c>
      <c r="D499" t="s">
        <v>26</v>
      </c>
      <c r="E499" t="s">
        <v>46</v>
      </c>
      <c r="F499" t="s">
        <v>625</v>
      </c>
      <c r="G499">
        <v>4</v>
      </c>
      <c r="H499">
        <v>4</v>
      </c>
      <c r="I499">
        <v>7</v>
      </c>
      <c r="J499" t="b">
        <v>0</v>
      </c>
      <c r="K499" t="s">
        <v>1104</v>
      </c>
      <c r="L499">
        <v>33</v>
      </c>
      <c r="N499" t="s">
        <v>1107</v>
      </c>
      <c r="O499">
        <v>62.5</v>
      </c>
      <c r="P499">
        <v>6.73</v>
      </c>
      <c r="Q499" t="s">
        <v>1110</v>
      </c>
    </row>
    <row r="500" spans="1:17">
      <c r="A500" s="2">
        <v>45883</v>
      </c>
      <c r="B500">
        <v>1</v>
      </c>
      <c r="C500">
        <v>19</v>
      </c>
      <c r="D500" t="s">
        <v>27</v>
      </c>
      <c r="E500" t="s">
        <v>47</v>
      </c>
      <c r="F500" t="s">
        <v>206</v>
      </c>
      <c r="G500">
        <v>0</v>
      </c>
      <c r="H500">
        <v>4</v>
      </c>
      <c r="I500">
        <v>3</v>
      </c>
      <c r="J500" t="b">
        <v>0</v>
      </c>
      <c r="K500" t="s">
        <v>1104</v>
      </c>
      <c r="L500">
        <v>33</v>
      </c>
      <c r="M500">
        <v>5.9</v>
      </c>
      <c r="N500" t="s">
        <v>1107</v>
      </c>
      <c r="O500">
        <v>64.8</v>
      </c>
      <c r="P500">
        <v>5.85</v>
      </c>
      <c r="Q500" t="s">
        <v>1111</v>
      </c>
    </row>
    <row r="501" spans="1:17">
      <c r="A501" s="2">
        <v>45883</v>
      </c>
      <c r="B501">
        <v>1</v>
      </c>
      <c r="C501">
        <v>20</v>
      </c>
      <c r="D501" t="s">
        <v>28</v>
      </c>
      <c r="E501" t="s">
        <v>48</v>
      </c>
      <c r="F501" t="s">
        <v>352</v>
      </c>
      <c r="G501">
        <v>0</v>
      </c>
      <c r="H501">
        <v>2</v>
      </c>
      <c r="I501">
        <v>1</v>
      </c>
      <c r="J501" t="b">
        <v>0</v>
      </c>
      <c r="K501" t="s">
        <v>1104</v>
      </c>
      <c r="L501">
        <v>33</v>
      </c>
      <c r="M501">
        <v>6.3</v>
      </c>
      <c r="N501" t="s">
        <v>1107</v>
      </c>
      <c r="O501">
        <v>84.3</v>
      </c>
      <c r="P501">
        <v>5.3</v>
      </c>
      <c r="Q501" t="s">
        <v>1110</v>
      </c>
    </row>
    <row r="502" spans="1:17">
      <c r="A502" s="2">
        <v>45883</v>
      </c>
      <c r="B502">
        <v>2</v>
      </c>
      <c r="C502">
        <v>1</v>
      </c>
      <c r="D502" t="s">
        <v>17</v>
      </c>
      <c r="E502" t="s">
        <v>49</v>
      </c>
      <c r="F502" t="s">
        <v>626</v>
      </c>
      <c r="G502">
        <v>0</v>
      </c>
      <c r="H502">
        <v>0</v>
      </c>
      <c r="I502">
        <v>0</v>
      </c>
      <c r="J502" t="b">
        <v>0</v>
      </c>
      <c r="L502">
        <v>34</v>
      </c>
      <c r="N502" t="s">
        <v>1107</v>
      </c>
      <c r="O502">
        <v>77.7</v>
      </c>
      <c r="P502">
        <v>6.1</v>
      </c>
      <c r="Q502" t="s">
        <v>1110</v>
      </c>
    </row>
    <row r="503" spans="1:17">
      <c r="A503" s="2">
        <v>45883</v>
      </c>
      <c r="B503">
        <v>2</v>
      </c>
      <c r="C503">
        <v>2</v>
      </c>
      <c r="D503" t="s">
        <v>1269</v>
      </c>
      <c r="E503" t="s">
        <v>50</v>
      </c>
      <c r="F503" t="s">
        <v>490</v>
      </c>
      <c r="G503">
        <v>2</v>
      </c>
      <c r="H503">
        <v>0</v>
      </c>
      <c r="I503">
        <v>2</v>
      </c>
      <c r="J503" t="b">
        <v>0</v>
      </c>
      <c r="L503">
        <v>34</v>
      </c>
      <c r="N503" t="s">
        <v>1107</v>
      </c>
      <c r="O503">
        <v>83.9</v>
      </c>
      <c r="P503">
        <v>5.54</v>
      </c>
      <c r="Q503" t="s">
        <v>1110</v>
      </c>
    </row>
    <row r="504" spans="1:17">
      <c r="A504" s="2">
        <v>45883</v>
      </c>
      <c r="B504">
        <v>2</v>
      </c>
      <c r="C504">
        <v>3</v>
      </c>
      <c r="D504" t="s">
        <v>18</v>
      </c>
      <c r="E504" t="s">
        <v>51</v>
      </c>
      <c r="F504" t="s">
        <v>627</v>
      </c>
      <c r="G504">
        <v>1</v>
      </c>
      <c r="H504">
        <v>0</v>
      </c>
      <c r="I504">
        <v>3</v>
      </c>
      <c r="J504" t="b">
        <v>0</v>
      </c>
      <c r="L504">
        <v>34</v>
      </c>
      <c r="N504" t="s">
        <v>1107</v>
      </c>
      <c r="O504">
        <v>65.400000000000006</v>
      </c>
      <c r="P504">
        <v>5.68</v>
      </c>
      <c r="Q504" t="s">
        <v>1110</v>
      </c>
    </row>
    <row r="505" spans="1:17">
      <c r="A505" s="2">
        <v>45883</v>
      </c>
      <c r="B505">
        <v>2</v>
      </c>
      <c r="C505">
        <v>4</v>
      </c>
      <c r="D505" t="s">
        <v>19</v>
      </c>
      <c r="E505" t="s">
        <v>52</v>
      </c>
      <c r="F505" t="s">
        <v>628</v>
      </c>
      <c r="G505">
        <v>0</v>
      </c>
      <c r="H505">
        <v>3</v>
      </c>
      <c r="I505">
        <v>0</v>
      </c>
      <c r="J505" t="b">
        <v>0</v>
      </c>
      <c r="L505">
        <v>34</v>
      </c>
      <c r="M505">
        <v>10</v>
      </c>
      <c r="N505" t="s">
        <v>1106</v>
      </c>
      <c r="O505">
        <v>63.1</v>
      </c>
      <c r="P505">
        <v>5.33</v>
      </c>
      <c r="Q505" t="s">
        <v>1110</v>
      </c>
    </row>
    <row r="506" spans="1:17">
      <c r="A506" s="2">
        <v>45883</v>
      </c>
      <c r="B506">
        <v>2</v>
      </c>
      <c r="C506">
        <v>5</v>
      </c>
      <c r="D506" t="s">
        <v>1115</v>
      </c>
      <c r="E506" t="s">
        <v>53</v>
      </c>
      <c r="F506" t="s">
        <v>629</v>
      </c>
      <c r="G506">
        <v>0</v>
      </c>
      <c r="H506">
        <v>0</v>
      </c>
      <c r="I506">
        <v>0</v>
      </c>
      <c r="J506" t="b">
        <v>0</v>
      </c>
      <c r="L506">
        <v>34</v>
      </c>
      <c r="N506" t="s">
        <v>1107</v>
      </c>
      <c r="O506">
        <v>77.599999999999994</v>
      </c>
      <c r="P506">
        <v>6.67</v>
      </c>
      <c r="Q506" t="s">
        <v>1110</v>
      </c>
    </row>
    <row r="507" spans="1:17">
      <c r="A507" s="2">
        <v>45883</v>
      </c>
      <c r="B507">
        <v>2</v>
      </c>
      <c r="C507">
        <v>6</v>
      </c>
      <c r="D507" t="s">
        <v>1270</v>
      </c>
      <c r="E507" t="s">
        <v>54</v>
      </c>
      <c r="F507" t="s">
        <v>630</v>
      </c>
      <c r="G507">
        <v>3</v>
      </c>
      <c r="H507">
        <v>0</v>
      </c>
      <c r="I507">
        <v>3</v>
      </c>
      <c r="J507" t="b">
        <v>0</v>
      </c>
      <c r="L507">
        <v>34</v>
      </c>
      <c r="N507" t="s">
        <v>1107</v>
      </c>
      <c r="O507">
        <v>62.9</v>
      </c>
      <c r="P507">
        <v>5.85</v>
      </c>
      <c r="Q507" t="s">
        <v>1110</v>
      </c>
    </row>
    <row r="508" spans="1:17">
      <c r="A508" s="2">
        <v>45883</v>
      </c>
      <c r="B508">
        <v>2</v>
      </c>
      <c r="C508">
        <v>7</v>
      </c>
      <c r="D508" t="s">
        <v>1114</v>
      </c>
      <c r="E508" t="s">
        <v>55</v>
      </c>
      <c r="F508" t="s">
        <v>631</v>
      </c>
      <c r="G508">
        <v>1</v>
      </c>
      <c r="H508">
        <v>2</v>
      </c>
      <c r="I508">
        <v>2</v>
      </c>
      <c r="J508" t="b">
        <v>0</v>
      </c>
      <c r="L508">
        <v>34</v>
      </c>
      <c r="M508">
        <v>10</v>
      </c>
      <c r="N508" t="s">
        <v>1107</v>
      </c>
      <c r="O508">
        <v>84.4</v>
      </c>
      <c r="P508">
        <v>6.33</v>
      </c>
      <c r="Q508" t="s">
        <v>1110</v>
      </c>
    </row>
    <row r="509" spans="1:17">
      <c r="A509" s="2">
        <v>45883</v>
      </c>
      <c r="B509">
        <v>2</v>
      </c>
      <c r="C509">
        <v>8</v>
      </c>
      <c r="D509" t="s">
        <v>1271</v>
      </c>
      <c r="E509" t="s">
        <v>56</v>
      </c>
      <c r="F509" t="s">
        <v>632</v>
      </c>
      <c r="G509">
        <v>2</v>
      </c>
      <c r="H509">
        <v>2</v>
      </c>
      <c r="I509">
        <v>2</v>
      </c>
      <c r="J509" t="b">
        <v>0</v>
      </c>
      <c r="L509">
        <v>34</v>
      </c>
      <c r="M509">
        <v>9.8000000000000007</v>
      </c>
      <c r="N509" t="s">
        <v>1107</v>
      </c>
      <c r="O509">
        <v>81.400000000000006</v>
      </c>
      <c r="P509">
        <v>5.57</v>
      </c>
      <c r="Q509" t="s">
        <v>1110</v>
      </c>
    </row>
    <row r="510" spans="1:17">
      <c r="A510" s="2">
        <v>45883</v>
      </c>
      <c r="B510">
        <v>2</v>
      </c>
      <c r="C510">
        <v>9</v>
      </c>
      <c r="D510" t="s">
        <v>20</v>
      </c>
      <c r="E510" t="s">
        <v>57</v>
      </c>
      <c r="F510" t="s">
        <v>633</v>
      </c>
      <c r="G510">
        <v>4</v>
      </c>
      <c r="H510">
        <v>2</v>
      </c>
      <c r="I510">
        <v>4</v>
      </c>
      <c r="J510" t="b">
        <v>0</v>
      </c>
      <c r="L510">
        <v>34</v>
      </c>
      <c r="M510">
        <v>9.1</v>
      </c>
      <c r="N510" t="s">
        <v>1107</v>
      </c>
      <c r="O510">
        <v>71.900000000000006</v>
      </c>
      <c r="P510">
        <v>7.04</v>
      </c>
      <c r="Q510" t="s">
        <v>1110</v>
      </c>
    </row>
    <row r="511" spans="1:17">
      <c r="A511" s="2">
        <v>45883</v>
      </c>
      <c r="B511">
        <v>2</v>
      </c>
      <c r="C511">
        <v>10</v>
      </c>
      <c r="D511" t="s">
        <v>1113</v>
      </c>
      <c r="E511" t="s">
        <v>58</v>
      </c>
      <c r="F511" t="s">
        <v>634</v>
      </c>
      <c r="G511">
        <v>1</v>
      </c>
      <c r="H511">
        <v>0</v>
      </c>
      <c r="I511">
        <v>5</v>
      </c>
      <c r="J511" t="b">
        <v>0</v>
      </c>
      <c r="L511">
        <v>34</v>
      </c>
      <c r="N511" t="s">
        <v>1106</v>
      </c>
      <c r="O511">
        <v>72.3</v>
      </c>
      <c r="P511">
        <v>5.32</v>
      </c>
      <c r="Q511" t="s">
        <v>1110</v>
      </c>
    </row>
    <row r="512" spans="1:17">
      <c r="A512" s="2">
        <v>45883</v>
      </c>
      <c r="B512">
        <v>2</v>
      </c>
      <c r="C512">
        <v>11</v>
      </c>
      <c r="D512" t="s">
        <v>1272</v>
      </c>
      <c r="E512" t="s">
        <v>59</v>
      </c>
      <c r="F512" t="s">
        <v>635</v>
      </c>
      <c r="G512">
        <v>0</v>
      </c>
      <c r="H512">
        <v>4</v>
      </c>
      <c r="I512">
        <v>1</v>
      </c>
      <c r="J512" t="b">
        <v>0</v>
      </c>
      <c r="L512">
        <v>34</v>
      </c>
      <c r="M512">
        <v>8.5</v>
      </c>
      <c r="N512" t="s">
        <v>1107</v>
      </c>
      <c r="O512">
        <v>62.1</v>
      </c>
      <c r="P512">
        <v>5.43</v>
      </c>
      <c r="Q512" t="s">
        <v>1110</v>
      </c>
    </row>
    <row r="513" spans="1:17">
      <c r="A513" s="2">
        <v>45883</v>
      </c>
      <c r="B513">
        <v>2</v>
      </c>
      <c r="C513">
        <v>12</v>
      </c>
      <c r="D513" t="s">
        <v>21</v>
      </c>
      <c r="E513" t="s">
        <v>60</v>
      </c>
      <c r="F513" t="s">
        <v>636</v>
      </c>
      <c r="G513">
        <v>3</v>
      </c>
      <c r="H513">
        <v>1</v>
      </c>
      <c r="I513">
        <v>3</v>
      </c>
      <c r="J513" t="b">
        <v>0</v>
      </c>
      <c r="L513">
        <v>34</v>
      </c>
      <c r="M513">
        <v>9.3000000000000007</v>
      </c>
      <c r="N513" t="s">
        <v>1107</v>
      </c>
      <c r="O513">
        <v>62.5</v>
      </c>
      <c r="P513">
        <v>7.78</v>
      </c>
      <c r="Q513" t="s">
        <v>1112</v>
      </c>
    </row>
    <row r="514" spans="1:17">
      <c r="A514" s="2">
        <v>45883</v>
      </c>
      <c r="B514">
        <v>2</v>
      </c>
      <c r="C514">
        <v>13</v>
      </c>
      <c r="D514" t="s">
        <v>22</v>
      </c>
      <c r="E514" t="s">
        <v>61</v>
      </c>
      <c r="F514" t="s">
        <v>637</v>
      </c>
      <c r="G514">
        <v>4</v>
      </c>
      <c r="H514">
        <v>3</v>
      </c>
      <c r="I514">
        <v>4</v>
      </c>
      <c r="J514" t="b">
        <v>0</v>
      </c>
      <c r="L514">
        <v>34</v>
      </c>
      <c r="M514">
        <v>9.6999999999999993</v>
      </c>
      <c r="N514" t="s">
        <v>1107</v>
      </c>
      <c r="O514">
        <v>84.4</v>
      </c>
      <c r="P514">
        <v>6.02</v>
      </c>
      <c r="Q514" t="s">
        <v>1110</v>
      </c>
    </row>
    <row r="515" spans="1:17">
      <c r="A515" s="2">
        <v>45883</v>
      </c>
      <c r="B515">
        <v>2</v>
      </c>
      <c r="C515">
        <v>14</v>
      </c>
      <c r="D515" t="s">
        <v>23</v>
      </c>
      <c r="E515" t="s">
        <v>62</v>
      </c>
      <c r="F515" t="s">
        <v>638</v>
      </c>
      <c r="G515">
        <v>1</v>
      </c>
      <c r="H515">
        <v>2</v>
      </c>
      <c r="I515">
        <v>3</v>
      </c>
      <c r="J515" t="b">
        <v>0</v>
      </c>
      <c r="L515">
        <v>34</v>
      </c>
      <c r="M515">
        <v>9.9</v>
      </c>
      <c r="N515" t="s">
        <v>1106</v>
      </c>
      <c r="O515">
        <v>63.1</v>
      </c>
      <c r="P515">
        <v>7.51</v>
      </c>
      <c r="Q515" t="s">
        <v>1110</v>
      </c>
    </row>
    <row r="516" spans="1:17">
      <c r="A516" s="2">
        <v>45883</v>
      </c>
      <c r="B516">
        <v>2</v>
      </c>
      <c r="C516">
        <v>15</v>
      </c>
      <c r="D516" t="s">
        <v>24</v>
      </c>
      <c r="E516" t="s">
        <v>63</v>
      </c>
      <c r="F516" t="s">
        <v>639</v>
      </c>
      <c r="G516">
        <v>2</v>
      </c>
      <c r="H516">
        <v>0</v>
      </c>
      <c r="I516">
        <v>5</v>
      </c>
      <c r="J516" t="b">
        <v>0</v>
      </c>
      <c r="L516">
        <v>34</v>
      </c>
      <c r="N516" t="s">
        <v>1107</v>
      </c>
      <c r="O516">
        <v>77.8</v>
      </c>
      <c r="P516">
        <v>6.75</v>
      </c>
      <c r="Q516" t="s">
        <v>1110</v>
      </c>
    </row>
    <row r="517" spans="1:17">
      <c r="A517" s="2">
        <v>45883</v>
      </c>
      <c r="B517">
        <v>2</v>
      </c>
      <c r="C517">
        <v>16</v>
      </c>
      <c r="D517" t="s">
        <v>1273</v>
      </c>
      <c r="E517" t="s">
        <v>64</v>
      </c>
      <c r="F517" t="s">
        <v>64</v>
      </c>
      <c r="G517">
        <v>5</v>
      </c>
      <c r="H517">
        <v>2</v>
      </c>
      <c r="I517">
        <v>8</v>
      </c>
      <c r="J517" t="b">
        <v>0</v>
      </c>
      <c r="L517">
        <v>34</v>
      </c>
      <c r="M517">
        <v>10</v>
      </c>
      <c r="N517" t="s">
        <v>1107</v>
      </c>
      <c r="O517">
        <v>76.099999999999994</v>
      </c>
      <c r="P517">
        <v>6.2</v>
      </c>
      <c r="Q517" t="s">
        <v>1110</v>
      </c>
    </row>
    <row r="518" spans="1:17">
      <c r="A518" s="2">
        <v>45883</v>
      </c>
      <c r="B518">
        <v>2</v>
      </c>
      <c r="C518">
        <v>17</v>
      </c>
      <c r="D518" t="s">
        <v>25</v>
      </c>
      <c r="E518" t="s">
        <v>65</v>
      </c>
      <c r="F518" t="s">
        <v>640</v>
      </c>
      <c r="G518">
        <v>4</v>
      </c>
      <c r="H518">
        <v>3</v>
      </c>
      <c r="I518">
        <v>9</v>
      </c>
      <c r="J518" t="b">
        <v>0</v>
      </c>
      <c r="K518" t="s">
        <v>1104</v>
      </c>
      <c r="L518">
        <v>34</v>
      </c>
      <c r="M518">
        <v>5.2</v>
      </c>
      <c r="N518" t="s">
        <v>1107</v>
      </c>
      <c r="O518">
        <v>70.099999999999994</v>
      </c>
      <c r="P518">
        <v>6.45</v>
      </c>
      <c r="Q518" t="s">
        <v>1110</v>
      </c>
    </row>
    <row r="519" spans="1:17">
      <c r="A519" s="2">
        <v>45883</v>
      </c>
      <c r="B519">
        <v>2</v>
      </c>
      <c r="C519">
        <v>18</v>
      </c>
      <c r="D519" t="s">
        <v>26</v>
      </c>
      <c r="E519" t="s">
        <v>66</v>
      </c>
      <c r="F519" t="s">
        <v>641</v>
      </c>
      <c r="G519">
        <v>1</v>
      </c>
      <c r="H519">
        <v>0</v>
      </c>
      <c r="I519">
        <v>10</v>
      </c>
      <c r="J519" t="b">
        <v>0</v>
      </c>
      <c r="K519" t="s">
        <v>1104</v>
      </c>
      <c r="L519">
        <v>34</v>
      </c>
      <c r="N519" t="s">
        <v>1107</v>
      </c>
      <c r="O519">
        <v>62.7</v>
      </c>
      <c r="P519">
        <v>5.75</v>
      </c>
      <c r="Q519" t="s">
        <v>1110</v>
      </c>
    </row>
    <row r="520" spans="1:17">
      <c r="A520" s="2">
        <v>45883</v>
      </c>
      <c r="B520">
        <v>2</v>
      </c>
      <c r="C520">
        <v>19</v>
      </c>
      <c r="D520" t="s">
        <v>27</v>
      </c>
      <c r="E520" t="s">
        <v>67</v>
      </c>
      <c r="F520" t="s">
        <v>642</v>
      </c>
      <c r="G520">
        <v>0</v>
      </c>
      <c r="H520">
        <v>4</v>
      </c>
      <c r="I520">
        <v>6</v>
      </c>
      <c r="J520" t="b">
        <v>0</v>
      </c>
      <c r="K520" t="s">
        <v>1104</v>
      </c>
      <c r="L520">
        <v>34</v>
      </c>
      <c r="M520">
        <v>5.2</v>
      </c>
      <c r="N520" t="s">
        <v>1107</v>
      </c>
      <c r="O520">
        <v>63.4</v>
      </c>
      <c r="P520">
        <v>5.3</v>
      </c>
      <c r="Q520" t="s">
        <v>1110</v>
      </c>
    </row>
    <row r="521" spans="1:17">
      <c r="A521" s="2">
        <v>45883</v>
      </c>
      <c r="B521">
        <v>2</v>
      </c>
      <c r="C521">
        <v>20</v>
      </c>
      <c r="D521" t="s">
        <v>28</v>
      </c>
      <c r="E521" t="s">
        <v>68</v>
      </c>
      <c r="F521" t="s">
        <v>643</v>
      </c>
      <c r="G521">
        <v>1</v>
      </c>
      <c r="H521">
        <v>2</v>
      </c>
      <c r="I521">
        <v>5</v>
      </c>
      <c r="J521" t="b">
        <v>0</v>
      </c>
      <c r="K521" t="s">
        <v>1104</v>
      </c>
      <c r="L521">
        <v>34</v>
      </c>
      <c r="M521">
        <v>5.0999999999999996</v>
      </c>
      <c r="N521" t="s">
        <v>1107</v>
      </c>
      <c r="O521">
        <v>77</v>
      </c>
      <c r="P521">
        <v>7.92</v>
      </c>
      <c r="Q521" t="s">
        <v>1110</v>
      </c>
    </row>
    <row r="522" spans="1:17">
      <c r="A522" s="2">
        <v>45883</v>
      </c>
      <c r="B522">
        <v>3</v>
      </c>
      <c r="C522">
        <v>1</v>
      </c>
      <c r="D522" t="s">
        <v>17</v>
      </c>
      <c r="E522" t="s">
        <v>69</v>
      </c>
      <c r="F522" t="s">
        <v>644</v>
      </c>
      <c r="G522">
        <v>0</v>
      </c>
      <c r="H522">
        <v>0</v>
      </c>
      <c r="I522">
        <v>0</v>
      </c>
      <c r="J522" t="b">
        <v>0</v>
      </c>
      <c r="L522">
        <v>33</v>
      </c>
      <c r="N522" t="s">
        <v>1107</v>
      </c>
      <c r="O522">
        <v>63.8</v>
      </c>
      <c r="P522">
        <v>6.87</v>
      </c>
      <c r="Q522" t="s">
        <v>1110</v>
      </c>
    </row>
    <row r="523" spans="1:17">
      <c r="A523" s="2">
        <v>45883</v>
      </c>
      <c r="B523">
        <v>3</v>
      </c>
      <c r="C523">
        <v>2</v>
      </c>
      <c r="D523" t="s">
        <v>1269</v>
      </c>
      <c r="E523" t="s">
        <v>70</v>
      </c>
      <c r="F523" t="s">
        <v>645</v>
      </c>
      <c r="G523">
        <v>2</v>
      </c>
      <c r="H523">
        <v>0</v>
      </c>
      <c r="I523">
        <v>2</v>
      </c>
      <c r="J523" t="b">
        <v>0</v>
      </c>
      <c r="L523">
        <v>33</v>
      </c>
      <c r="N523" t="s">
        <v>1107</v>
      </c>
      <c r="O523">
        <v>78.8</v>
      </c>
      <c r="P523">
        <v>7.3</v>
      </c>
      <c r="Q523" t="s">
        <v>1110</v>
      </c>
    </row>
    <row r="524" spans="1:17">
      <c r="A524" s="2">
        <v>45883</v>
      </c>
      <c r="B524">
        <v>3</v>
      </c>
      <c r="C524">
        <v>3</v>
      </c>
      <c r="D524" t="s">
        <v>18</v>
      </c>
      <c r="E524" t="s">
        <v>71</v>
      </c>
      <c r="F524" t="s">
        <v>646</v>
      </c>
      <c r="G524">
        <v>5</v>
      </c>
      <c r="H524">
        <v>1</v>
      </c>
      <c r="I524">
        <v>6</v>
      </c>
      <c r="J524" t="b">
        <v>0</v>
      </c>
      <c r="L524">
        <v>33</v>
      </c>
      <c r="M524">
        <v>10</v>
      </c>
      <c r="N524" t="s">
        <v>1107</v>
      </c>
      <c r="O524">
        <v>76.599999999999994</v>
      </c>
      <c r="P524">
        <v>6.47</v>
      </c>
      <c r="Q524" t="s">
        <v>1110</v>
      </c>
    </row>
    <row r="525" spans="1:17">
      <c r="A525" s="2">
        <v>45883</v>
      </c>
      <c r="B525">
        <v>3</v>
      </c>
      <c r="C525">
        <v>4</v>
      </c>
      <c r="D525" t="s">
        <v>19</v>
      </c>
      <c r="E525" t="s">
        <v>72</v>
      </c>
      <c r="F525" t="s">
        <v>647</v>
      </c>
      <c r="G525">
        <v>3</v>
      </c>
      <c r="H525">
        <v>1</v>
      </c>
      <c r="I525">
        <v>8</v>
      </c>
      <c r="J525" t="b">
        <v>0</v>
      </c>
      <c r="L525">
        <v>33</v>
      </c>
      <c r="M525">
        <v>9.9</v>
      </c>
      <c r="N525" t="s">
        <v>1107</v>
      </c>
      <c r="O525">
        <v>81.5</v>
      </c>
      <c r="P525">
        <v>6.64</v>
      </c>
      <c r="Q525" t="s">
        <v>1112</v>
      </c>
    </row>
    <row r="526" spans="1:17">
      <c r="A526" s="2">
        <v>45883</v>
      </c>
      <c r="B526">
        <v>3</v>
      </c>
      <c r="C526">
        <v>5</v>
      </c>
      <c r="D526" t="s">
        <v>1115</v>
      </c>
      <c r="E526" t="s">
        <v>73</v>
      </c>
      <c r="F526" t="s">
        <v>648</v>
      </c>
      <c r="G526">
        <v>4</v>
      </c>
      <c r="H526">
        <v>1</v>
      </c>
      <c r="I526">
        <v>11</v>
      </c>
      <c r="J526" t="b">
        <v>0</v>
      </c>
      <c r="L526">
        <v>33</v>
      </c>
      <c r="M526">
        <v>10</v>
      </c>
      <c r="N526" t="s">
        <v>1107</v>
      </c>
      <c r="O526">
        <v>70.8</v>
      </c>
      <c r="P526">
        <v>7.74</v>
      </c>
      <c r="Q526" t="s">
        <v>1110</v>
      </c>
    </row>
    <row r="527" spans="1:17">
      <c r="A527" s="2">
        <v>45883</v>
      </c>
      <c r="B527">
        <v>3</v>
      </c>
      <c r="C527">
        <v>6</v>
      </c>
      <c r="D527" t="s">
        <v>1270</v>
      </c>
      <c r="E527" t="s">
        <v>74</v>
      </c>
      <c r="F527" t="s">
        <v>649</v>
      </c>
      <c r="G527">
        <v>2</v>
      </c>
      <c r="H527">
        <v>5</v>
      </c>
      <c r="I527">
        <v>8</v>
      </c>
      <c r="J527" t="b">
        <v>0</v>
      </c>
      <c r="L527">
        <v>33</v>
      </c>
      <c r="M527">
        <v>9.8000000000000007</v>
      </c>
      <c r="N527" t="s">
        <v>1107</v>
      </c>
      <c r="O527">
        <v>69.400000000000006</v>
      </c>
      <c r="P527">
        <v>6.38</v>
      </c>
      <c r="Q527" t="s">
        <v>1110</v>
      </c>
    </row>
    <row r="528" spans="1:17">
      <c r="A528" s="2">
        <v>45883</v>
      </c>
      <c r="B528">
        <v>3</v>
      </c>
      <c r="C528">
        <v>7</v>
      </c>
      <c r="D528" t="s">
        <v>1114</v>
      </c>
      <c r="E528" t="s">
        <v>75</v>
      </c>
      <c r="F528" t="s">
        <v>650</v>
      </c>
      <c r="G528">
        <v>0</v>
      </c>
      <c r="H528">
        <v>5</v>
      </c>
      <c r="I528">
        <v>3</v>
      </c>
      <c r="J528" t="b">
        <v>0</v>
      </c>
      <c r="L528">
        <v>33</v>
      </c>
      <c r="M528">
        <v>9.5</v>
      </c>
      <c r="N528" t="s">
        <v>1107</v>
      </c>
      <c r="O528">
        <v>81.5</v>
      </c>
      <c r="P528">
        <v>5.91</v>
      </c>
      <c r="Q528" t="s">
        <v>1110</v>
      </c>
    </row>
    <row r="529" spans="1:17">
      <c r="A529" s="2">
        <v>45883</v>
      </c>
      <c r="B529">
        <v>3</v>
      </c>
      <c r="C529">
        <v>8</v>
      </c>
      <c r="D529" t="s">
        <v>1271</v>
      </c>
      <c r="E529" t="s">
        <v>76</v>
      </c>
      <c r="F529" t="s">
        <v>651</v>
      </c>
      <c r="G529">
        <v>0</v>
      </c>
      <c r="H529">
        <v>3</v>
      </c>
      <c r="I529">
        <v>0</v>
      </c>
      <c r="J529" t="b">
        <v>0</v>
      </c>
      <c r="L529">
        <v>33</v>
      </c>
      <c r="N529" t="s">
        <v>1107</v>
      </c>
      <c r="O529">
        <v>63.4</v>
      </c>
      <c r="P529">
        <v>7.15</v>
      </c>
      <c r="Q529" t="s">
        <v>1110</v>
      </c>
    </row>
    <row r="530" spans="1:17">
      <c r="A530" s="2">
        <v>45883</v>
      </c>
      <c r="B530">
        <v>3</v>
      </c>
      <c r="C530">
        <v>9</v>
      </c>
      <c r="D530" t="s">
        <v>20</v>
      </c>
      <c r="E530" t="s">
        <v>77</v>
      </c>
      <c r="F530" t="s">
        <v>652</v>
      </c>
      <c r="G530">
        <v>4</v>
      </c>
      <c r="H530">
        <v>0</v>
      </c>
      <c r="I530">
        <v>4</v>
      </c>
      <c r="J530" t="b">
        <v>0</v>
      </c>
      <c r="L530">
        <v>33</v>
      </c>
      <c r="N530" t="s">
        <v>1107</v>
      </c>
      <c r="O530">
        <v>76.900000000000006</v>
      </c>
      <c r="P530">
        <v>6.98</v>
      </c>
      <c r="Q530" t="s">
        <v>1110</v>
      </c>
    </row>
    <row r="531" spans="1:17">
      <c r="A531" s="2">
        <v>45883</v>
      </c>
      <c r="B531">
        <v>3</v>
      </c>
      <c r="C531">
        <v>10</v>
      </c>
      <c r="D531" t="s">
        <v>1113</v>
      </c>
      <c r="E531" t="s">
        <v>78</v>
      </c>
      <c r="F531" t="s">
        <v>653</v>
      </c>
      <c r="G531">
        <v>2</v>
      </c>
      <c r="H531">
        <v>3</v>
      </c>
      <c r="I531">
        <v>3</v>
      </c>
      <c r="J531" t="b">
        <v>0</v>
      </c>
      <c r="L531">
        <v>33</v>
      </c>
      <c r="M531">
        <v>10</v>
      </c>
      <c r="N531" t="s">
        <v>1107</v>
      </c>
      <c r="O531">
        <v>71.900000000000006</v>
      </c>
      <c r="P531">
        <v>7.56</v>
      </c>
      <c r="Q531" t="s">
        <v>1110</v>
      </c>
    </row>
    <row r="532" spans="1:17">
      <c r="A532" s="2">
        <v>45883</v>
      </c>
      <c r="B532">
        <v>3</v>
      </c>
      <c r="C532">
        <v>11</v>
      </c>
      <c r="D532" t="s">
        <v>1272</v>
      </c>
      <c r="E532" t="s">
        <v>79</v>
      </c>
      <c r="F532" t="s">
        <v>654</v>
      </c>
      <c r="G532">
        <v>2</v>
      </c>
      <c r="H532">
        <v>0</v>
      </c>
      <c r="I532">
        <v>5</v>
      </c>
      <c r="J532" t="b">
        <v>0</v>
      </c>
      <c r="L532">
        <v>33</v>
      </c>
      <c r="N532" t="s">
        <v>1107</v>
      </c>
      <c r="O532">
        <v>72.400000000000006</v>
      </c>
      <c r="P532">
        <v>7.91</v>
      </c>
      <c r="Q532" t="s">
        <v>1110</v>
      </c>
    </row>
    <row r="533" spans="1:17">
      <c r="A533" s="2">
        <v>45883</v>
      </c>
      <c r="B533">
        <v>3</v>
      </c>
      <c r="C533">
        <v>12</v>
      </c>
      <c r="D533" t="s">
        <v>21</v>
      </c>
      <c r="E533" t="s">
        <v>80</v>
      </c>
      <c r="F533" t="s">
        <v>655</v>
      </c>
      <c r="G533">
        <v>3</v>
      </c>
      <c r="H533">
        <v>4</v>
      </c>
      <c r="I533">
        <v>4</v>
      </c>
      <c r="J533" t="b">
        <v>0</v>
      </c>
      <c r="L533">
        <v>33</v>
      </c>
      <c r="M533">
        <v>9.3000000000000007</v>
      </c>
      <c r="N533" t="s">
        <v>1107</v>
      </c>
      <c r="O533">
        <v>84.4</v>
      </c>
      <c r="P533">
        <v>5.96</v>
      </c>
      <c r="Q533" t="s">
        <v>1110</v>
      </c>
    </row>
    <row r="534" spans="1:17">
      <c r="A534" s="2">
        <v>45883</v>
      </c>
      <c r="B534">
        <v>3</v>
      </c>
      <c r="C534">
        <v>13</v>
      </c>
      <c r="D534" t="s">
        <v>22</v>
      </c>
      <c r="E534" t="s">
        <v>81</v>
      </c>
      <c r="F534" t="s">
        <v>656</v>
      </c>
      <c r="G534">
        <v>0</v>
      </c>
      <c r="H534">
        <v>2</v>
      </c>
      <c r="I534">
        <v>2</v>
      </c>
      <c r="J534" t="b">
        <v>0</v>
      </c>
      <c r="L534">
        <v>33</v>
      </c>
      <c r="M534">
        <v>9</v>
      </c>
      <c r="N534" t="s">
        <v>1107</v>
      </c>
      <c r="O534">
        <v>80.900000000000006</v>
      </c>
      <c r="P534">
        <v>6.05</v>
      </c>
      <c r="Q534" t="s">
        <v>1110</v>
      </c>
    </row>
    <row r="535" spans="1:17">
      <c r="A535" s="2">
        <v>45883</v>
      </c>
      <c r="B535">
        <v>3</v>
      </c>
      <c r="C535">
        <v>14</v>
      </c>
      <c r="D535" t="s">
        <v>23</v>
      </c>
      <c r="E535" t="s">
        <v>82</v>
      </c>
      <c r="F535" t="s">
        <v>82</v>
      </c>
      <c r="G535">
        <v>3</v>
      </c>
      <c r="H535">
        <v>0</v>
      </c>
      <c r="I535">
        <v>5</v>
      </c>
      <c r="J535" t="b">
        <v>0</v>
      </c>
      <c r="L535">
        <v>33</v>
      </c>
      <c r="N535" t="s">
        <v>1107</v>
      </c>
      <c r="O535">
        <v>82.3</v>
      </c>
      <c r="P535">
        <v>6.02</v>
      </c>
      <c r="Q535" t="s">
        <v>1110</v>
      </c>
    </row>
    <row r="536" spans="1:17">
      <c r="A536" s="2">
        <v>45883</v>
      </c>
      <c r="B536">
        <v>3</v>
      </c>
      <c r="C536">
        <v>15</v>
      </c>
      <c r="D536" t="s">
        <v>24</v>
      </c>
      <c r="E536" t="s">
        <v>83</v>
      </c>
      <c r="F536" t="s">
        <v>657</v>
      </c>
      <c r="G536">
        <v>8</v>
      </c>
      <c r="H536">
        <v>3</v>
      </c>
      <c r="I536">
        <v>10</v>
      </c>
      <c r="J536" t="b">
        <v>0</v>
      </c>
      <c r="L536">
        <v>33</v>
      </c>
      <c r="M536">
        <v>10</v>
      </c>
      <c r="N536" t="s">
        <v>1107</v>
      </c>
      <c r="O536">
        <v>68.900000000000006</v>
      </c>
      <c r="P536">
        <v>6.05</v>
      </c>
      <c r="Q536" t="s">
        <v>1110</v>
      </c>
    </row>
    <row r="537" spans="1:17">
      <c r="A537" s="2">
        <v>45883</v>
      </c>
      <c r="B537">
        <v>3</v>
      </c>
      <c r="C537">
        <v>16</v>
      </c>
      <c r="D537" t="s">
        <v>1273</v>
      </c>
      <c r="E537" t="s">
        <v>84</v>
      </c>
      <c r="F537" t="s">
        <v>520</v>
      </c>
      <c r="G537">
        <v>5</v>
      </c>
      <c r="H537">
        <v>2</v>
      </c>
      <c r="I537">
        <v>13</v>
      </c>
      <c r="J537" t="b">
        <v>0</v>
      </c>
      <c r="L537">
        <v>33</v>
      </c>
      <c r="M537">
        <v>9.9</v>
      </c>
      <c r="N537" t="s">
        <v>1107</v>
      </c>
      <c r="O537">
        <v>76.2</v>
      </c>
      <c r="P537">
        <v>6.78</v>
      </c>
      <c r="Q537" t="s">
        <v>1111</v>
      </c>
    </row>
    <row r="538" spans="1:17">
      <c r="A538" s="2">
        <v>45883</v>
      </c>
      <c r="B538">
        <v>3</v>
      </c>
      <c r="C538">
        <v>17</v>
      </c>
      <c r="D538" t="s">
        <v>25</v>
      </c>
      <c r="E538" t="s">
        <v>85</v>
      </c>
      <c r="F538" t="s">
        <v>658</v>
      </c>
      <c r="G538">
        <v>1</v>
      </c>
      <c r="H538">
        <v>1</v>
      </c>
      <c r="I538">
        <v>13</v>
      </c>
      <c r="J538" t="b">
        <v>0</v>
      </c>
      <c r="K538" t="s">
        <v>1104</v>
      </c>
      <c r="L538">
        <v>33</v>
      </c>
      <c r="M538">
        <v>5.9</v>
      </c>
      <c r="N538" t="s">
        <v>1107</v>
      </c>
      <c r="O538">
        <v>67.599999999999994</v>
      </c>
      <c r="P538">
        <v>6.01</v>
      </c>
      <c r="Q538" t="s">
        <v>1110</v>
      </c>
    </row>
    <row r="539" spans="1:17">
      <c r="A539" s="2">
        <v>45883</v>
      </c>
      <c r="B539">
        <v>3</v>
      </c>
      <c r="C539">
        <v>18</v>
      </c>
      <c r="D539" t="s">
        <v>26</v>
      </c>
      <c r="E539" t="s">
        <v>86</v>
      </c>
      <c r="F539" t="s">
        <v>659</v>
      </c>
      <c r="G539">
        <v>8</v>
      </c>
      <c r="H539">
        <v>0</v>
      </c>
      <c r="I539">
        <v>21</v>
      </c>
      <c r="J539" t="b">
        <v>0</v>
      </c>
      <c r="K539" t="s">
        <v>1104</v>
      </c>
      <c r="L539">
        <v>33</v>
      </c>
      <c r="N539" t="s">
        <v>1107</v>
      </c>
      <c r="O539">
        <v>71.5</v>
      </c>
      <c r="P539">
        <v>7.59</v>
      </c>
      <c r="Q539" t="s">
        <v>1110</v>
      </c>
    </row>
    <row r="540" spans="1:17">
      <c r="A540" s="2">
        <v>45883</v>
      </c>
      <c r="B540">
        <v>3</v>
      </c>
      <c r="C540">
        <v>19</v>
      </c>
      <c r="D540" t="s">
        <v>27</v>
      </c>
      <c r="E540" t="s">
        <v>87</v>
      </c>
      <c r="F540" t="s">
        <v>660</v>
      </c>
      <c r="G540">
        <v>5</v>
      </c>
      <c r="H540">
        <v>2</v>
      </c>
      <c r="I540">
        <v>24</v>
      </c>
      <c r="J540" t="b">
        <v>0</v>
      </c>
      <c r="K540" t="s">
        <v>1104</v>
      </c>
      <c r="L540">
        <v>33</v>
      </c>
      <c r="M540">
        <v>5.9</v>
      </c>
      <c r="N540" t="s">
        <v>1108</v>
      </c>
      <c r="O540">
        <v>66.7</v>
      </c>
      <c r="P540">
        <v>7.09</v>
      </c>
      <c r="Q540" t="s">
        <v>1110</v>
      </c>
    </row>
    <row r="541" spans="1:17">
      <c r="A541" s="2">
        <v>45883</v>
      </c>
      <c r="B541">
        <v>3</v>
      </c>
      <c r="C541">
        <v>20</v>
      </c>
      <c r="D541" t="s">
        <v>28</v>
      </c>
      <c r="E541" t="s">
        <v>88</v>
      </c>
      <c r="F541" t="s">
        <v>661</v>
      </c>
      <c r="G541">
        <v>2</v>
      </c>
      <c r="H541">
        <v>5</v>
      </c>
      <c r="I541">
        <v>21</v>
      </c>
      <c r="J541" t="b">
        <v>0</v>
      </c>
      <c r="K541" t="s">
        <v>1104</v>
      </c>
      <c r="L541">
        <v>33</v>
      </c>
      <c r="M541">
        <v>5.7</v>
      </c>
      <c r="N541" t="s">
        <v>1106</v>
      </c>
      <c r="O541">
        <v>69.400000000000006</v>
      </c>
      <c r="P541">
        <v>6.17</v>
      </c>
      <c r="Q541" t="s">
        <v>1110</v>
      </c>
    </row>
    <row r="542" spans="1:17">
      <c r="A542" s="2">
        <v>45883</v>
      </c>
      <c r="B542">
        <v>4</v>
      </c>
      <c r="C542">
        <v>1</v>
      </c>
      <c r="D542" t="s">
        <v>17</v>
      </c>
      <c r="E542" t="s">
        <v>89</v>
      </c>
      <c r="F542" t="s">
        <v>662</v>
      </c>
      <c r="G542">
        <v>0</v>
      </c>
      <c r="H542">
        <v>0</v>
      </c>
      <c r="I542">
        <v>0</v>
      </c>
      <c r="J542" t="b">
        <v>0</v>
      </c>
      <c r="L542">
        <v>34</v>
      </c>
      <c r="N542" t="s">
        <v>1107</v>
      </c>
      <c r="O542">
        <v>62.5</v>
      </c>
      <c r="P542">
        <v>7.03</v>
      </c>
      <c r="Q542" t="s">
        <v>1110</v>
      </c>
    </row>
    <row r="543" spans="1:17">
      <c r="A543" s="2">
        <v>45883</v>
      </c>
      <c r="B543">
        <v>4</v>
      </c>
      <c r="C543">
        <v>2</v>
      </c>
      <c r="D543" t="s">
        <v>1269</v>
      </c>
      <c r="E543" t="s">
        <v>90</v>
      </c>
      <c r="F543" t="s">
        <v>663</v>
      </c>
      <c r="G543">
        <v>2</v>
      </c>
      <c r="H543">
        <v>0</v>
      </c>
      <c r="I543">
        <v>2</v>
      </c>
      <c r="J543" t="b">
        <v>0</v>
      </c>
      <c r="L543">
        <v>34</v>
      </c>
      <c r="N543" t="s">
        <v>1107</v>
      </c>
      <c r="O543">
        <v>79.099999999999994</v>
      </c>
      <c r="P543">
        <v>6.02</v>
      </c>
      <c r="Q543" t="s">
        <v>1110</v>
      </c>
    </row>
    <row r="544" spans="1:17">
      <c r="A544" s="2">
        <v>45883</v>
      </c>
      <c r="B544">
        <v>4</v>
      </c>
      <c r="C544">
        <v>3</v>
      </c>
      <c r="D544" t="s">
        <v>18</v>
      </c>
      <c r="E544" t="s">
        <v>91</v>
      </c>
      <c r="F544" t="s">
        <v>664</v>
      </c>
      <c r="G544">
        <v>1</v>
      </c>
      <c r="H544">
        <v>2</v>
      </c>
      <c r="I544">
        <v>1</v>
      </c>
      <c r="J544" t="b">
        <v>0</v>
      </c>
      <c r="L544">
        <v>34</v>
      </c>
      <c r="M544">
        <v>9.9</v>
      </c>
      <c r="N544" t="s">
        <v>1107</v>
      </c>
      <c r="O544">
        <v>70.900000000000006</v>
      </c>
      <c r="P544">
        <v>6.49</v>
      </c>
      <c r="Q544" t="s">
        <v>1111</v>
      </c>
    </row>
    <row r="545" spans="1:17">
      <c r="A545" s="2">
        <v>45883</v>
      </c>
      <c r="B545">
        <v>4</v>
      </c>
      <c r="C545">
        <v>4</v>
      </c>
      <c r="D545" t="s">
        <v>19</v>
      </c>
      <c r="E545" t="s">
        <v>92</v>
      </c>
      <c r="F545" t="s">
        <v>665</v>
      </c>
      <c r="G545">
        <v>7</v>
      </c>
      <c r="H545">
        <v>1</v>
      </c>
      <c r="I545">
        <v>7</v>
      </c>
      <c r="J545" t="b">
        <v>0</v>
      </c>
      <c r="L545">
        <v>34</v>
      </c>
      <c r="M545">
        <v>8.8000000000000007</v>
      </c>
      <c r="N545" t="s">
        <v>1107</v>
      </c>
      <c r="O545">
        <v>81</v>
      </c>
      <c r="P545">
        <v>6.61</v>
      </c>
      <c r="Q545" t="s">
        <v>1110</v>
      </c>
    </row>
    <row r="546" spans="1:17">
      <c r="A546" s="2">
        <v>45883</v>
      </c>
      <c r="B546">
        <v>4</v>
      </c>
      <c r="C546">
        <v>5</v>
      </c>
      <c r="D546" t="s">
        <v>1115</v>
      </c>
      <c r="E546" t="s">
        <v>93</v>
      </c>
      <c r="F546" t="s">
        <v>666</v>
      </c>
      <c r="G546">
        <v>7</v>
      </c>
      <c r="H546">
        <v>4</v>
      </c>
      <c r="I546">
        <v>10</v>
      </c>
      <c r="J546" t="b">
        <v>0</v>
      </c>
      <c r="L546">
        <v>34</v>
      </c>
      <c r="M546">
        <v>9.1</v>
      </c>
      <c r="N546" t="s">
        <v>1107</v>
      </c>
      <c r="O546">
        <v>84.9</v>
      </c>
      <c r="P546">
        <v>6.21</v>
      </c>
      <c r="Q546" t="s">
        <v>1110</v>
      </c>
    </row>
    <row r="547" spans="1:17">
      <c r="A547" s="2">
        <v>45883</v>
      </c>
      <c r="B547">
        <v>4</v>
      </c>
      <c r="C547">
        <v>6</v>
      </c>
      <c r="D547" t="s">
        <v>1270</v>
      </c>
      <c r="E547" t="s">
        <v>94</v>
      </c>
      <c r="F547" t="s">
        <v>667</v>
      </c>
      <c r="G547">
        <v>10</v>
      </c>
      <c r="H547">
        <v>4</v>
      </c>
      <c r="I547">
        <v>16</v>
      </c>
      <c r="J547" t="b">
        <v>0</v>
      </c>
      <c r="L547">
        <v>34</v>
      </c>
      <c r="M547">
        <v>9.3000000000000007</v>
      </c>
      <c r="N547" t="s">
        <v>1107</v>
      </c>
      <c r="O547">
        <v>62.3</v>
      </c>
      <c r="P547">
        <v>7.53</v>
      </c>
      <c r="Q547" t="s">
        <v>1110</v>
      </c>
    </row>
    <row r="548" spans="1:17">
      <c r="A548" s="2">
        <v>45883</v>
      </c>
      <c r="B548">
        <v>4</v>
      </c>
      <c r="C548">
        <v>7</v>
      </c>
      <c r="D548" t="s">
        <v>1114</v>
      </c>
      <c r="E548" t="s">
        <v>95</v>
      </c>
      <c r="F548" t="s">
        <v>668</v>
      </c>
      <c r="G548">
        <v>5</v>
      </c>
      <c r="H548">
        <v>4</v>
      </c>
      <c r="I548">
        <v>17</v>
      </c>
      <c r="J548" t="b">
        <v>0</v>
      </c>
      <c r="L548">
        <v>34</v>
      </c>
      <c r="M548">
        <v>9.5</v>
      </c>
      <c r="N548" t="s">
        <v>1107</v>
      </c>
      <c r="O548">
        <v>61.7</v>
      </c>
      <c r="P548">
        <v>7.4</v>
      </c>
      <c r="Q548" t="s">
        <v>1110</v>
      </c>
    </row>
    <row r="549" spans="1:17">
      <c r="A549" s="2">
        <v>45883</v>
      </c>
      <c r="B549">
        <v>4</v>
      </c>
      <c r="C549">
        <v>8</v>
      </c>
      <c r="D549" t="s">
        <v>1271</v>
      </c>
      <c r="E549" t="s">
        <v>96</v>
      </c>
      <c r="F549" t="s">
        <v>669</v>
      </c>
      <c r="G549">
        <v>5</v>
      </c>
      <c r="H549">
        <v>5</v>
      </c>
      <c r="I549">
        <v>17</v>
      </c>
      <c r="J549" t="b">
        <v>0</v>
      </c>
      <c r="L549">
        <v>34</v>
      </c>
      <c r="M549">
        <v>8</v>
      </c>
      <c r="N549" t="s">
        <v>1107</v>
      </c>
      <c r="O549">
        <v>79.900000000000006</v>
      </c>
      <c r="P549">
        <v>6.95</v>
      </c>
      <c r="Q549" t="s">
        <v>1110</v>
      </c>
    </row>
    <row r="550" spans="1:17">
      <c r="A550" s="2">
        <v>45883</v>
      </c>
      <c r="B550">
        <v>4</v>
      </c>
      <c r="C550">
        <v>9</v>
      </c>
      <c r="D550" t="s">
        <v>20</v>
      </c>
      <c r="E550" t="s">
        <v>97</v>
      </c>
      <c r="F550" t="s">
        <v>670</v>
      </c>
      <c r="G550">
        <v>7</v>
      </c>
      <c r="H550">
        <v>0</v>
      </c>
      <c r="I550">
        <v>24</v>
      </c>
      <c r="J550" t="b">
        <v>0</v>
      </c>
      <c r="L550">
        <v>34</v>
      </c>
      <c r="N550" t="s">
        <v>1107</v>
      </c>
      <c r="O550">
        <v>70.8</v>
      </c>
      <c r="P550">
        <v>6.62</v>
      </c>
      <c r="Q550" t="s">
        <v>1110</v>
      </c>
    </row>
    <row r="551" spans="1:17">
      <c r="A551" s="2">
        <v>45883</v>
      </c>
      <c r="B551">
        <v>4</v>
      </c>
      <c r="C551">
        <v>10</v>
      </c>
      <c r="D551" t="s">
        <v>1113</v>
      </c>
      <c r="E551" t="s">
        <v>98</v>
      </c>
      <c r="F551" t="s">
        <v>671</v>
      </c>
      <c r="G551">
        <v>4</v>
      </c>
      <c r="H551">
        <v>2</v>
      </c>
      <c r="I551">
        <v>26</v>
      </c>
      <c r="J551" t="b">
        <v>0</v>
      </c>
      <c r="L551">
        <v>34</v>
      </c>
      <c r="M551">
        <v>9.9</v>
      </c>
      <c r="N551" t="s">
        <v>1107</v>
      </c>
      <c r="O551">
        <v>75.599999999999994</v>
      </c>
      <c r="P551">
        <v>6.36</v>
      </c>
      <c r="Q551" t="s">
        <v>1110</v>
      </c>
    </row>
    <row r="552" spans="1:17">
      <c r="A552" s="2">
        <v>45883</v>
      </c>
      <c r="B552">
        <v>4</v>
      </c>
      <c r="C552">
        <v>11</v>
      </c>
      <c r="D552" t="s">
        <v>1272</v>
      </c>
      <c r="E552" t="s">
        <v>99</v>
      </c>
      <c r="F552" t="s">
        <v>99</v>
      </c>
      <c r="G552">
        <v>4</v>
      </c>
      <c r="H552">
        <v>2</v>
      </c>
      <c r="I552">
        <v>28</v>
      </c>
      <c r="J552" t="b">
        <v>0</v>
      </c>
      <c r="L552">
        <v>34</v>
      </c>
      <c r="M552">
        <v>10</v>
      </c>
      <c r="N552" t="s">
        <v>1107</v>
      </c>
      <c r="O552">
        <v>60.5</v>
      </c>
      <c r="P552">
        <v>7.11</v>
      </c>
      <c r="Q552" t="s">
        <v>1111</v>
      </c>
    </row>
    <row r="553" spans="1:17">
      <c r="A553" s="2">
        <v>45883</v>
      </c>
      <c r="B553">
        <v>4</v>
      </c>
      <c r="C553">
        <v>12</v>
      </c>
      <c r="D553" t="s">
        <v>21</v>
      </c>
      <c r="E553" t="s">
        <v>100</v>
      </c>
      <c r="F553" t="s">
        <v>672</v>
      </c>
      <c r="G553">
        <v>3</v>
      </c>
      <c r="H553">
        <v>3</v>
      </c>
      <c r="I553">
        <v>28</v>
      </c>
      <c r="J553" t="b">
        <v>0</v>
      </c>
      <c r="L553">
        <v>34</v>
      </c>
      <c r="M553">
        <v>9.6</v>
      </c>
      <c r="N553" t="s">
        <v>1107</v>
      </c>
      <c r="O553">
        <v>65.3</v>
      </c>
      <c r="P553">
        <v>7.89</v>
      </c>
      <c r="Q553" t="s">
        <v>1110</v>
      </c>
    </row>
    <row r="554" spans="1:17">
      <c r="A554" s="2">
        <v>45883</v>
      </c>
      <c r="B554">
        <v>4</v>
      </c>
      <c r="C554">
        <v>13</v>
      </c>
      <c r="D554" t="s">
        <v>22</v>
      </c>
      <c r="E554" t="s">
        <v>101</v>
      </c>
      <c r="F554" t="s">
        <v>673</v>
      </c>
      <c r="G554">
        <v>2</v>
      </c>
      <c r="H554">
        <v>2</v>
      </c>
      <c r="I554">
        <v>28</v>
      </c>
      <c r="J554" t="b">
        <v>0</v>
      </c>
      <c r="L554">
        <v>34</v>
      </c>
      <c r="M554">
        <v>9.9</v>
      </c>
      <c r="N554" t="s">
        <v>1107</v>
      </c>
      <c r="O554">
        <v>83.4</v>
      </c>
      <c r="P554">
        <v>6.6</v>
      </c>
      <c r="Q554" t="s">
        <v>1110</v>
      </c>
    </row>
    <row r="555" spans="1:17">
      <c r="A555" s="2">
        <v>45883</v>
      </c>
      <c r="B555">
        <v>4</v>
      </c>
      <c r="C555">
        <v>14</v>
      </c>
      <c r="D555" t="s">
        <v>23</v>
      </c>
      <c r="E555" t="s">
        <v>102</v>
      </c>
      <c r="F555" t="s">
        <v>674</v>
      </c>
      <c r="G555">
        <v>4</v>
      </c>
      <c r="H555">
        <v>0</v>
      </c>
      <c r="I555">
        <v>32</v>
      </c>
      <c r="J555" t="b">
        <v>0</v>
      </c>
      <c r="L555">
        <v>34</v>
      </c>
      <c r="N555" t="s">
        <v>1107</v>
      </c>
      <c r="O555">
        <v>70.8</v>
      </c>
      <c r="P555">
        <v>6.7</v>
      </c>
      <c r="Q555" t="s">
        <v>1110</v>
      </c>
    </row>
    <row r="556" spans="1:17">
      <c r="A556" s="2">
        <v>45883</v>
      </c>
      <c r="B556">
        <v>4</v>
      </c>
      <c r="C556">
        <v>15</v>
      </c>
      <c r="D556" t="s">
        <v>24</v>
      </c>
      <c r="E556" t="s">
        <v>103</v>
      </c>
      <c r="F556" t="s">
        <v>675</v>
      </c>
      <c r="G556">
        <v>3</v>
      </c>
      <c r="H556">
        <v>3</v>
      </c>
      <c r="I556">
        <v>32</v>
      </c>
      <c r="J556" t="b">
        <v>0</v>
      </c>
      <c r="L556">
        <v>34</v>
      </c>
      <c r="M556">
        <v>10</v>
      </c>
      <c r="N556" t="s">
        <v>1107</v>
      </c>
      <c r="O556">
        <v>69.099999999999994</v>
      </c>
      <c r="P556">
        <v>5.44</v>
      </c>
      <c r="Q556" t="s">
        <v>1110</v>
      </c>
    </row>
    <row r="557" spans="1:17">
      <c r="A557" s="2">
        <v>45883</v>
      </c>
      <c r="B557">
        <v>4</v>
      </c>
      <c r="C557">
        <v>16</v>
      </c>
      <c r="D557" t="s">
        <v>1273</v>
      </c>
      <c r="E557" t="s">
        <v>104</v>
      </c>
      <c r="F557" t="s">
        <v>676</v>
      </c>
      <c r="G557">
        <v>0</v>
      </c>
      <c r="H557">
        <v>5</v>
      </c>
      <c r="I557">
        <v>27</v>
      </c>
      <c r="J557" t="b">
        <v>0</v>
      </c>
      <c r="L557">
        <v>34</v>
      </c>
      <c r="M557">
        <v>9.6999999999999993</v>
      </c>
      <c r="N557" t="s">
        <v>1107</v>
      </c>
      <c r="O557">
        <v>67.5</v>
      </c>
      <c r="P557">
        <v>6.31</v>
      </c>
      <c r="Q557" t="s">
        <v>1110</v>
      </c>
    </row>
    <row r="558" spans="1:17">
      <c r="A558" s="2">
        <v>45883</v>
      </c>
      <c r="B558">
        <v>4</v>
      </c>
      <c r="C558">
        <v>17</v>
      </c>
      <c r="D558" t="s">
        <v>25</v>
      </c>
      <c r="E558" t="s">
        <v>105</v>
      </c>
      <c r="F558" t="s">
        <v>677</v>
      </c>
      <c r="G558">
        <v>5</v>
      </c>
      <c r="H558">
        <v>4</v>
      </c>
      <c r="I558">
        <v>28</v>
      </c>
      <c r="J558" t="b">
        <v>0</v>
      </c>
      <c r="K558" t="s">
        <v>1104</v>
      </c>
      <c r="L558">
        <v>34</v>
      </c>
      <c r="M558">
        <v>5.2</v>
      </c>
      <c r="N558" t="s">
        <v>1107</v>
      </c>
      <c r="O558">
        <v>61.6</v>
      </c>
      <c r="P558">
        <v>5.61</v>
      </c>
      <c r="Q558" t="s">
        <v>1110</v>
      </c>
    </row>
    <row r="559" spans="1:17">
      <c r="A559" s="2">
        <v>45883</v>
      </c>
      <c r="B559">
        <v>4</v>
      </c>
      <c r="C559">
        <v>18</v>
      </c>
      <c r="D559" t="s">
        <v>26</v>
      </c>
      <c r="E559" t="s">
        <v>106</v>
      </c>
      <c r="F559" t="s">
        <v>678</v>
      </c>
      <c r="G559">
        <v>3</v>
      </c>
      <c r="H559">
        <v>4</v>
      </c>
      <c r="I559">
        <v>27</v>
      </c>
      <c r="J559" t="b">
        <v>0</v>
      </c>
      <c r="K559" t="s">
        <v>1104</v>
      </c>
      <c r="L559">
        <v>34</v>
      </c>
      <c r="M559">
        <v>5</v>
      </c>
      <c r="N559" t="s">
        <v>1107</v>
      </c>
      <c r="O559">
        <v>76.2</v>
      </c>
      <c r="P559">
        <v>5.77</v>
      </c>
      <c r="Q559" t="s">
        <v>1110</v>
      </c>
    </row>
    <row r="560" spans="1:17">
      <c r="A560" s="2">
        <v>45883</v>
      </c>
      <c r="B560">
        <v>4</v>
      </c>
      <c r="C560">
        <v>19</v>
      </c>
      <c r="D560" t="s">
        <v>27</v>
      </c>
      <c r="E560" t="s">
        <v>107</v>
      </c>
      <c r="F560" t="s">
        <v>679</v>
      </c>
      <c r="G560">
        <v>3</v>
      </c>
      <c r="H560">
        <v>0</v>
      </c>
      <c r="I560">
        <v>30</v>
      </c>
      <c r="J560" t="b">
        <v>0</v>
      </c>
      <c r="K560" t="s">
        <v>1104</v>
      </c>
      <c r="L560">
        <v>34</v>
      </c>
      <c r="N560" t="s">
        <v>1107</v>
      </c>
      <c r="O560">
        <v>62.8</v>
      </c>
      <c r="P560">
        <v>5.58</v>
      </c>
      <c r="Q560" t="s">
        <v>1110</v>
      </c>
    </row>
    <row r="561" spans="1:17">
      <c r="A561" s="2">
        <v>45883</v>
      </c>
      <c r="B561">
        <v>4</v>
      </c>
      <c r="C561">
        <v>20</v>
      </c>
      <c r="D561" t="s">
        <v>28</v>
      </c>
      <c r="E561" t="s">
        <v>108</v>
      </c>
      <c r="F561" t="s">
        <v>109</v>
      </c>
      <c r="G561">
        <v>5</v>
      </c>
      <c r="H561">
        <v>2</v>
      </c>
      <c r="I561">
        <v>33</v>
      </c>
      <c r="J561" t="b">
        <v>0</v>
      </c>
      <c r="K561" t="s">
        <v>1104</v>
      </c>
      <c r="L561">
        <v>34</v>
      </c>
      <c r="M561">
        <v>5.2</v>
      </c>
      <c r="N561" t="s">
        <v>1107</v>
      </c>
      <c r="O561">
        <v>71.599999999999994</v>
      </c>
      <c r="P561">
        <v>6.68</v>
      </c>
      <c r="Q561" t="s">
        <v>1110</v>
      </c>
    </row>
    <row r="562" spans="1:17">
      <c r="A562" s="2">
        <v>45883</v>
      </c>
      <c r="B562">
        <v>5</v>
      </c>
      <c r="C562">
        <v>1</v>
      </c>
      <c r="D562" t="s">
        <v>17</v>
      </c>
      <c r="E562" t="s">
        <v>109</v>
      </c>
      <c r="F562" t="s">
        <v>680</v>
      </c>
      <c r="G562">
        <v>0</v>
      </c>
      <c r="H562">
        <v>0</v>
      </c>
      <c r="I562">
        <v>0</v>
      </c>
      <c r="J562" t="b">
        <v>0</v>
      </c>
      <c r="L562">
        <v>33</v>
      </c>
      <c r="N562" t="s">
        <v>1107</v>
      </c>
      <c r="O562">
        <v>60.9</v>
      </c>
      <c r="P562">
        <v>5.48</v>
      </c>
      <c r="Q562" t="s">
        <v>1110</v>
      </c>
    </row>
    <row r="563" spans="1:17">
      <c r="A563" s="2">
        <v>45883</v>
      </c>
      <c r="B563">
        <v>5</v>
      </c>
      <c r="C563">
        <v>2</v>
      </c>
      <c r="D563" t="s">
        <v>1269</v>
      </c>
      <c r="E563" t="s">
        <v>110</v>
      </c>
      <c r="F563" t="s">
        <v>681</v>
      </c>
      <c r="G563">
        <v>1</v>
      </c>
      <c r="H563">
        <v>0</v>
      </c>
      <c r="I563">
        <v>1</v>
      </c>
      <c r="J563" t="b">
        <v>0</v>
      </c>
      <c r="L563">
        <v>33</v>
      </c>
      <c r="N563" t="s">
        <v>1107</v>
      </c>
      <c r="O563">
        <v>80.099999999999994</v>
      </c>
      <c r="P563">
        <v>6.98</v>
      </c>
      <c r="Q563" t="s">
        <v>1110</v>
      </c>
    </row>
    <row r="564" spans="1:17">
      <c r="A564" s="2">
        <v>45883</v>
      </c>
      <c r="B564">
        <v>5</v>
      </c>
      <c r="C564">
        <v>3</v>
      </c>
      <c r="D564" t="s">
        <v>18</v>
      </c>
      <c r="E564" t="s">
        <v>111</v>
      </c>
      <c r="F564" t="s">
        <v>682</v>
      </c>
      <c r="G564">
        <v>4</v>
      </c>
      <c r="H564">
        <v>1</v>
      </c>
      <c r="I564">
        <v>4</v>
      </c>
      <c r="J564" t="b">
        <v>0</v>
      </c>
      <c r="L564">
        <v>33</v>
      </c>
      <c r="M564">
        <v>7.3</v>
      </c>
      <c r="N564" t="s">
        <v>1107</v>
      </c>
      <c r="O564">
        <v>84.1</v>
      </c>
      <c r="P564">
        <v>6.46</v>
      </c>
      <c r="Q564" t="s">
        <v>1110</v>
      </c>
    </row>
    <row r="565" spans="1:17">
      <c r="A565" s="2">
        <v>45883</v>
      </c>
      <c r="B565">
        <v>5</v>
      </c>
      <c r="C565">
        <v>4</v>
      </c>
      <c r="D565" t="s">
        <v>19</v>
      </c>
      <c r="E565" t="s">
        <v>112</v>
      </c>
      <c r="F565" t="s">
        <v>683</v>
      </c>
      <c r="G565">
        <v>2</v>
      </c>
      <c r="H565">
        <v>1</v>
      </c>
      <c r="I565">
        <v>5</v>
      </c>
      <c r="J565" t="b">
        <v>0</v>
      </c>
      <c r="L565">
        <v>33</v>
      </c>
      <c r="M565">
        <v>8</v>
      </c>
      <c r="N565" t="s">
        <v>1107</v>
      </c>
      <c r="O565">
        <v>62.1</v>
      </c>
      <c r="P565">
        <v>6.8</v>
      </c>
      <c r="Q565" t="s">
        <v>1111</v>
      </c>
    </row>
    <row r="566" spans="1:17">
      <c r="A566" s="2">
        <v>45883</v>
      </c>
      <c r="B566">
        <v>5</v>
      </c>
      <c r="C566">
        <v>5</v>
      </c>
      <c r="D566" t="s">
        <v>1115</v>
      </c>
      <c r="E566" t="s">
        <v>113</v>
      </c>
      <c r="F566" t="s">
        <v>684</v>
      </c>
      <c r="G566">
        <v>3</v>
      </c>
      <c r="H566">
        <v>2</v>
      </c>
      <c r="I566">
        <v>6</v>
      </c>
      <c r="J566" t="b">
        <v>0</v>
      </c>
      <c r="L566">
        <v>33</v>
      </c>
      <c r="M566">
        <v>7.5</v>
      </c>
      <c r="N566" t="s">
        <v>1108</v>
      </c>
      <c r="O566">
        <v>70.2</v>
      </c>
      <c r="P566">
        <v>6.09</v>
      </c>
      <c r="Q566" t="s">
        <v>1110</v>
      </c>
    </row>
    <row r="567" spans="1:17">
      <c r="A567" s="2">
        <v>45883</v>
      </c>
      <c r="B567">
        <v>5</v>
      </c>
      <c r="C567">
        <v>6</v>
      </c>
      <c r="D567" t="s">
        <v>1270</v>
      </c>
      <c r="E567" t="s">
        <v>114</v>
      </c>
      <c r="F567" t="s">
        <v>685</v>
      </c>
      <c r="G567">
        <v>5</v>
      </c>
      <c r="H567">
        <v>2</v>
      </c>
      <c r="I567">
        <v>9</v>
      </c>
      <c r="J567" t="b">
        <v>0</v>
      </c>
      <c r="L567">
        <v>33</v>
      </c>
      <c r="M567">
        <v>7.6</v>
      </c>
      <c r="N567" t="s">
        <v>1107</v>
      </c>
      <c r="O567">
        <v>83.6</v>
      </c>
      <c r="P567">
        <v>7.17</v>
      </c>
      <c r="Q567" t="s">
        <v>1110</v>
      </c>
    </row>
    <row r="568" spans="1:17">
      <c r="A568" s="2">
        <v>45883</v>
      </c>
      <c r="B568">
        <v>5</v>
      </c>
      <c r="C568">
        <v>7</v>
      </c>
      <c r="D568" t="s">
        <v>1114</v>
      </c>
      <c r="E568" t="s">
        <v>115</v>
      </c>
      <c r="F568" t="s">
        <v>403</v>
      </c>
      <c r="G568">
        <v>5</v>
      </c>
      <c r="H568">
        <v>5</v>
      </c>
      <c r="I568">
        <v>9</v>
      </c>
      <c r="J568" t="b">
        <v>0</v>
      </c>
      <c r="L568">
        <v>33</v>
      </c>
      <c r="M568">
        <v>8</v>
      </c>
      <c r="N568" t="s">
        <v>1107</v>
      </c>
      <c r="O568">
        <v>78.400000000000006</v>
      </c>
      <c r="P568">
        <v>7.8</v>
      </c>
      <c r="Q568" t="s">
        <v>1110</v>
      </c>
    </row>
    <row r="569" spans="1:17">
      <c r="A569" s="2">
        <v>45883</v>
      </c>
      <c r="B569">
        <v>5</v>
      </c>
      <c r="C569">
        <v>8</v>
      </c>
      <c r="D569" t="s">
        <v>1271</v>
      </c>
      <c r="E569" t="s">
        <v>116</v>
      </c>
      <c r="F569" t="s">
        <v>116</v>
      </c>
      <c r="G569">
        <v>0</v>
      </c>
      <c r="H569">
        <v>2</v>
      </c>
      <c r="I569">
        <v>7</v>
      </c>
      <c r="J569" t="b">
        <v>0</v>
      </c>
      <c r="L569">
        <v>33</v>
      </c>
      <c r="M569">
        <v>8.1</v>
      </c>
      <c r="N569" t="s">
        <v>1107</v>
      </c>
      <c r="O569">
        <v>83.7</v>
      </c>
      <c r="P569">
        <v>7.79</v>
      </c>
      <c r="Q569" t="s">
        <v>1110</v>
      </c>
    </row>
    <row r="570" spans="1:17">
      <c r="A570" s="2">
        <v>45883</v>
      </c>
      <c r="B570">
        <v>5</v>
      </c>
      <c r="C570">
        <v>9</v>
      </c>
      <c r="D570" t="s">
        <v>20</v>
      </c>
      <c r="E570" t="s">
        <v>117</v>
      </c>
      <c r="F570" t="s">
        <v>117</v>
      </c>
      <c r="G570">
        <v>2</v>
      </c>
      <c r="H570">
        <v>3</v>
      </c>
      <c r="I570">
        <v>6</v>
      </c>
      <c r="J570" t="b">
        <v>0</v>
      </c>
      <c r="L570">
        <v>33</v>
      </c>
      <c r="N570" t="s">
        <v>1107</v>
      </c>
      <c r="O570">
        <v>66</v>
      </c>
      <c r="P570">
        <v>5.37</v>
      </c>
      <c r="Q570" t="s">
        <v>1111</v>
      </c>
    </row>
    <row r="571" spans="1:17">
      <c r="A571" s="2">
        <v>45883</v>
      </c>
      <c r="B571">
        <v>5</v>
      </c>
      <c r="C571">
        <v>10</v>
      </c>
      <c r="D571" t="s">
        <v>1113</v>
      </c>
      <c r="E571" t="s">
        <v>118</v>
      </c>
      <c r="F571" t="s">
        <v>686</v>
      </c>
      <c r="G571">
        <v>4</v>
      </c>
      <c r="H571">
        <v>5</v>
      </c>
      <c r="I571">
        <v>5</v>
      </c>
      <c r="J571" t="b">
        <v>0</v>
      </c>
      <c r="L571">
        <v>33</v>
      </c>
      <c r="M571">
        <v>7.9</v>
      </c>
      <c r="N571" t="s">
        <v>1107</v>
      </c>
      <c r="O571">
        <v>74.599999999999994</v>
      </c>
      <c r="P571">
        <v>6.17</v>
      </c>
      <c r="Q571" t="s">
        <v>1110</v>
      </c>
    </row>
    <row r="572" spans="1:17">
      <c r="A572" s="2">
        <v>45883</v>
      </c>
      <c r="B572">
        <v>5</v>
      </c>
      <c r="C572">
        <v>11</v>
      </c>
      <c r="D572" t="s">
        <v>1272</v>
      </c>
      <c r="E572" t="s">
        <v>119</v>
      </c>
      <c r="F572" t="s">
        <v>687</v>
      </c>
      <c r="G572">
        <v>0</v>
      </c>
      <c r="H572">
        <v>2</v>
      </c>
      <c r="I572">
        <v>3</v>
      </c>
      <c r="J572" t="b">
        <v>0</v>
      </c>
      <c r="L572">
        <v>33</v>
      </c>
      <c r="M572">
        <v>7.8</v>
      </c>
      <c r="N572" t="s">
        <v>1107</v>
      </c>
      <c r="O572">
        <v>70.599999999999994</v>
      </c>
      <c r="P572">
        <v>5.43</v>
      </c>
      <c r="Q572" t="s">
        <v>1110</v>
      </c>
    </row>
    <row r="573" spans="1:17">
      <c r="A573" s="2">
        <v>45883</v>
      </c>
      <c r="B573">
        <v>5</v>
      </c>
      <c r="C573">
        <v>12</v>
      </c>
      <c r="D573" t="s">
        <v>21</v>
      </c>
      <c r="E573" t="s">
        <v>120</v>
      </c>
      <c r="F573" t="s">
        <v>688</v>
      </c>
      <c r="G573">
        <v>2</v>
      </c>
      <c r="H573">
        <v>1</v>
      </c>
      <c r="I573">
        <v>4</v>
      </c>
      <c r="J573" t="b">
        <v>0</v>
      </c>
      <c r="L573">
        <v>33</v>
      </c>
      <c r="M573">
        <v>8</v>
      </c>
      <c r="N573" t="s">
        <v>1109</v>
      </c>
      <c r="O573">
        <v>71</v>
      </c>
      <c r="P573">
        <v>5.76</v>
      </c>
      <c r="Q573" t="s">
        <v>1110</v>
      </c>
    </row>
    <row r="574" spans="1:17">
      <c r="A574" s="2">
        <v>45883</v>
      </c>
      <c r="B574">
        <v>5</v>
      </c>
      <c r="C574">
        <v>13</v>
      </c>
      <c r="D574" t="s">
        <v>22</v>
      </c>
      <c r="E574" t="s">
        <v>121</v>
      </c>
      <c r="F574" t="s">
        <v>689</v>
      </c>
      <c r="G574">
        <v>1</v>
      </c>
      <c r="H574">
        <v>3</v>
      </c>
      <c r="I574">
        <v>2</v>
      </c>
      <c r="J574" t="b">
        <v>0</v>
      </c>
      <c r="L574">
        <v>33</v>
      </c>
      <c r="M574">
        <v>7.8</v>
      </c>
      <c r="N574" t="s">
        <v>1107</v>
      </c>
      <c r="O574">
        <v>69.400000000000006</v>
      </c>
      <c r="P574">
        <v>7.85</v>
      </c>
      <c r="Q574" t="s">
        <v>1110</v>
      </c>
    </row>
    <row r="575" spans="1:17">
      <c r="A575" s="2">
        <v>45883</v>
      </c>
      <c r="B575">
        <v>5</v>
      </c>
      <c r="C575">
        <v>14</v>
      </c>
      <c r="D575" t="s">
        <v>23</v>
      </c>
      <c r="E575" t="s">
        <v>122</v>
      </c>
      <c r="F575" t="s">
        <v>690</v>
      </c>
      <c r="G575">
        <v>2</v>
      </c>
      <c r="H575">
        <v>0</v>
      </c>
      <c r="I575">
        <v>4</v>
      </c>
      <c r="J575" t="b">
        <v>0</v>
      </c>
      <c r="L575">
        <v>33</v>
      </c>
      <c r="N575" t="s">
        <v>1107</v>
      </c>
      <c r="O575">
        <v>77.099999999999994</v>
      </c>
      <c r="P575">
        <v>7.89</v>
      </c>
      <c r="Q575" t="s">
        <v>1111</v>
      </c>
    </row>
    <row r="576" spans="1:17">
      <c r="A576" s="2">
        <v>45883</v>
      </c>
      <c r="B576">
        <v>5</v>
      </c>
      <c r="C576">
        <v>15</v>
      </c>
      <c r="D576" t="s">
        <v>24</v>
      </c>
      <c r="E576" t="s">
        <v>123</v>
      </c>
      <c r="F576" t="s">
        <v>691</v>
      </c>
      <c r="G576">
        <v>1</v>
      </c>
      <c r="H576">
        <v>2</v>
      </c>
      <c r="I576">
        <v>3</v>
      </c>
      <c r="J576" t="b">
        <v>0</v>
      </c>
      <c r="L576">
        <v>33</v>
      </c>
      <c r="M576">
        <v>8</v>
      </c>
      <c r="N576" t="s">
        <v>1108</v>
      </c>
      <c r="O576">
        <v>69.099999999999994</v>
      </c>
      <c r="P576">
        <v>7.15</v>
      </c>
      <c r="Q576" t="s">
        <v>1111</v>
      </c>
    </row>
    <row r="577" spans="1:17">
      <c r="A577" s="2">
        <v>45883</v>
      </c>
      <c r="B577">
        <v>5</v>
      </c>
      <c r="C577">
        <v>16</v>
      </c>
      <c r="D577" t="s">
        <v>1273</v>
      </c>
      <c r="E577" t="s">
        <v>124</v>
      </c>
      <c r="F577" t="s">
        <v>692</v>
      </c>
      <c r="G577">
        <v>5</v>
      </c>
      <c r="H577">
        <v>0</v>
      </c>
      <c r="I577">
        <v>8</v>
      </c>
      <c r="J577" t="b">
        <v>0</v>
      </c>
      <c r="L577">
        <v>33</v>
      </c>
      <c r="N577" t="s">
        <v>1107</v>
      </c>
      <c r="O577">
        <v>84.2</v>
      </c>
      <c r="P577">
        <v>6.82</v>
      </c>
      <c r="Q577" t="s">
        <v>1111</v>
      </c>
    </row>
    <row r="578" spans="1:17">
      <c r="A578" s="2">
        <v>45883</v>
      </c>
      <c r="B578">
        <v>5</v>
      </c>
      <c r="C578">
        <v>17</v>
      </c>
      <c r="D578" t="s">
        <v>25</v>
      </c>
      <c r="E578" t="s">
        <v>125</v>
      </c>
      <c r="F578" t="s">
        <v>693</v>
      </c>
      <c r="G578">
        <v>2</v>
      </c>
      <c r="H578">
        <v>4</v>
      </c>
      <c r="I578">
        <v>6</v>
      </c>
      <c r="J578" t="b">
        <v>0</v>
      </c>
      <c r="K578" t="s">
        <v>1104</v>
      </c>
      <c r="L578">
        <v>33</v>
      </c>
      <c r="M578">
        <v>4.0999999999999996</v>
      </c>
      <c r="N578" t="s">
        <v>1107</v>
      </c>
      <c r="O578">
        <v>83.5</v>
      </c>
      <c r="P578">
        <v>7.07</v>
      </c>
      <c r="Q578" t="s">
        <v>1110</v>
      </c>
    </row>
    <row r="579" spans="1:17">
      <c r="A579" s="2">
        <v>45883</v>
      </c>
      <c r="B579">
        <v>5</v>
      </c>
      <c r="C579">
        <v>18</v>
      </c>
      <c r="D579" t="s">
        <v>26</v>
      </c>
      <c r="E579" t="s">
        <v>126</v>
      </c>
      <c r="F579" t="s">
        <v>694</v>
      </c>
      <c r="G579">
        <v>1</v>
      </c>
      <c r="H579">
        <v>2</v>
      </c>
      <c r="I579">
        <v>5</v>
      </c>
      <c r="J579" t="b">
        <v>0</v>
      </c>
      <c r="K579" t="s">
        <v>1104</v>
      </c>
      <c r="L579">
        <v>33</v>
      </c>
      <c r="M579">
        <v>3.7</v>
      </c>
      <c r="N579" t="s">
        <v>1107</v>
      </c>
      <c r="O579">
        <v>73.8</v>
      </c>
      <c r="P579">
        <v>5.93</v>
      </c>
      <c r="Q579" t="s">
        <v>1112</v>
      </c>
    </row>
    <row r="580" spans="1:17">
      <c r="A580" s="2">
        <v>45883</v>
      </c>
      <c r="B580">
        <v>5</v>
      </c>
      <c r="C580">
        <v>19</v>
      </c>
      <c r="D580" t="s">
        <v>27</v>
      </c>
      <c r="E580" t="s">
        <v>127</v>
      </c>
      <c r="F580" t="s">
        <v>695</v>
      </c>
      <c r="G580">
        <v>3</v>
      </c>
      <c r="H580">
        <v>2</v>
      </c>
      <c r="I580">
        <v>6</v>
      </c>
      <c r="J580" t="b">
        <v>0</v>
      </c>
      <c r="K580" t="s">
        <v>1104</v>
      </c>
      <c r="L580">
        <v>33</v>
      </c>
      <c r="M580">
        <v>4.0999999999999996</v>
      </c>
      <c r="N580" t="s">
        <v>1107</v>
      </c>
      <c r="O580">
        <v>80.3</v>
      </c>
      <c r="P580">
        <v>5.37</v>
      </c>
      <c r="Q580" t="s">
        <v>1111</v>
      </c>
    </row>
    <row r="581" spans="1:17">
      <c r="A581" s="2">
        <v>45883</v>
      </c>
      <c r="B581">
        <v>5</v>
      </c>
      <c r="C581">
        <v>20</v>
      </c>
      <c r="D581" t="s">
        <v>28</v>
      </c>
      <c r="E581" t="s">
        <v>128</v>
      </c>
      <c r="F581" t="s">
        <v>129</v>
      </c>
      <c r="G581">
        <v>1</v>
      </c>
      <c r="H581">
        <v>1</v>
      </c>
      <c r="I581">
        <v>6</v>
      </c>
      <c r="J581" t="b">
        <v>0</v>
      </c>
      <c r="K581" t="s">
        <v>1104</v>
      </c>
      <c r="L581">
        <v>33</v>
      </c>
      <c r="N581" t="s">
        <v>1107</v>
      </c>
      <c r="O581">
        <v>69.7</v>
      </c>
      <c r="P581">
        <v>7.73</v>
      </c>
      <c r="Q581" t="s">
        <v>1110</v>
      </c>
    </row>
    <row r="582" spans="1:17">
      <c r="A582" s="2">
        <v>45883</v>
      </c>
      <c r="B582">
        <v>6</v>
      </c>
      <c r="C582">
        <v>1</v>
      </c>
      <c r="D582" t="s">
        <v>17</v>
      </c>
      <c r="E582" t="s">
        <v>129</v>
      </c>
      <c r="F582" t="s">
        <v>696</v>
      </c>
      <c r="G582">
        <v>0</v>
      </c>
      <c r="H582">
        <v>0</v>
      </c>
      <c r="I582">
        <v>0</v>
      </c>
      <c r="J582" t="b">
        <v>0</v>
      </c>
      <c r="L582">
        <v>36</v>
      </c>
      <c r="N582" t="s">
        <v>1109</v>
      </c>
      <c r="O582">
        <v>66.400000000000006</v>
      </c>
      <c r="P582">
        <v>5.27</v>
      </c>
      <c r="Q582" t="s">
        <v>1111</v>
      </c>
    </row>
    <row r="583" spans="1:17">
      <c r="A583" s="2">
        <v>45883</v>
      </c>
      <c r="B583">
        <v>6</v>
      </c>
      <c r="C583">
        <v>2</v>
      </c>
      <c r="D583" t="s">
        <v>1269</v>
      </c>
      <c r="E583" t="s">
        <v>130</v>
      </c>
      <c r="F583" t="s">
        <v>697</v>
      </c>
      <c r="G583">
        <v>4</v>
      </c>
      <c r="H583">
        <v>0</v>
      </c>
      <c r="I583">
        <v>4</v>
      </c>
      <c r="J583" t="b">
        <v>0</v>
      </c>
      <c r="L583">
        <v>36</v>
      </c>
      <c r="N583" t="s">
        <v>1107</v>
      </c>
      <c r="O583">
        <v>65.3</v>
      </c>
      <c r="P583">
        <v>7.67</v>
      </c>
      <c r="Q583" t="s">
        <v>1111</v>
      </c>
    </row>
    <row r="584" spans="1:17">
      <c r="A584" s="2">
        <v>45883</v>
      </c>
      <c r="B584">
        <v>6</v>
      </c>
      <c r="C584">
        <v>3</v>
      </c>
      <c r="D584" t="s">
        <v>18</v>
      </c>
      <c r="E584" t="s">
        <v>131</v>
      </c>
      <c r="F584" t="s">
        <v>698</v>
      </c>
      <c r="G584">
        <v>0</v>
      </c>
      <c r="H584">
        <v>4</v>
      </c>
      <c r="I584">
        <v>0</v>
      </c>
      <c r="J584" t="b">
        <v>0</v>
      </c>
      <c r="L584">
        <v>36</v>
      </c>
      <c r="M584" t="s">
        <v>1213</v>
      </c>
      <c r="N584" t="s">
        <v>1107</v>
      </c>
      <c r="O584">
        <v>82</v>
      </c>
      <c r="P584">
        <v>7.3</v>
      </c>
      <c r="Q584" t="s">
        <v>1110</v>
      </c>
    </row>
    <row r="585" spans="1:17">
      <c r="A585" s="2">
        <v>45883</v>
      </c>
      <c r="B585">
        <v>6</v>
      </c>
      <c r="C585">
        <v>4</v>
      </c>
      <c r="D585" t="s">
        <v>19</v>
      </c>
      <c r="E585" t="s">
        <v>132</v>
      </c>
      <c r="F585" t="s">
        <v>699</v>
      </c>
      <c r="G585">
        <v>4</v>
      </c>
      <c r="H585">
        <v>0</v>
      </c>
      <c r="I585">
        <v>4</v>
      </c>
      <c r="J585" t="b">
        <v>0</v>
      </c>
      <c r="L585">
        <v>36</v>
      </c>
      <c r="N585" t="s">
        <v>1107</v>
      </c>
      <c r="O585">
        <v>81.7</v>
      </c>
      <c r="P585">
        <v>7.47</v>
      </c>
      <c r="Q585" t="s">
        <v>1111</v>
      </c>
    </row>
    <row r="586" spans="1:17">
      <c r="A586" s="2">
        <v>45883</v>
      </c>
      <c r="B586">
        <v>6</v>
      </c>
      <c r="C586">
        <v>5</v>
      </c>
      <c r="D586" t="s">
        <v>1115</v>
      </c>
      <c r="E586" t="s">
        <v>133</v>
      </c>
      <c r="F586" t="s">
        <v>700</v>
      </c>
      <c r="G586">
        <v>1</v>
      </c>
      <c r="H586">
        <v>1</v>
      </c>
      <c r="I586">
        <v>4</v>
      </c>
      <c r="J586" t="b">
        <v>0</v>
      </c>
      <c r="L586">
        <v>36</v>
      </c>
      <c r="N586" t="s">
        <v>1107</v>
      </c>
      <c r="O586">
        <v>70.3</v>
      </c>
      <c r="P586">
        <v>7.52</v>
      </c>
      <c r="Q586" t="s">
        <v>1110</v>
      </c>
    </row>
    <row r="587" spans="1:17">
      <c r="A587" s="2">
        <v>45883</v>
      </c>
      <c r="B587">
        <v>6</v>
      </c>
      <c r="C587">
        <v>6</v>
      </c>
      <c r="D587" t="s">
        <v>1270</v>
      </c>
      <c r="E587" t="s">
        <v>134</v>
      </c>
      <c r="F587" t="s">
        <v>701</v>
      </c>
      <c r="G587">
        <v>1</v>
      </c>
      <c r="H587">
        <v>4</v>
      </c>
      <c r="I587">
        <v>1</v>
      </c>
      <c r="J587" t="b">
        <v>0</v>
      </c>
      <c r="L587">
        <v>36</v>
      </c>
      <c r="M587" t="s">
        <v>1219</v>
      </c>
      <c r="N587" t="s">
        <v>1107</v>
      </c>
      <c r="O587">
        <v>80.5</v>
      </c>
      <c r="P587">
        <v>7.47</v>
      </c>
      <c r="Q587" t="s">
        <v>1110</v>
      </c>
    </row>
    <row r="588" spans="1:17">
      <c r="A588" s="2">
        <v>45883</v>
      </c>
      <c r="B588">
        <v>6</v>
      </c>
      <c r="C588">
        <v>7</v>
      </c>
      <c r="D588" t="s">
        <v>1114</v>
      </c>
      <c r="E588" t="s">
        <v>135</v>
      </c>
      <c r="F588" t="s">
        <v>702</v>
      </c>
      <c r="G588">
        <v>3</v>
      </c>
      <c r="H588">
        <v>0</v>
      </c>
      <c r="I588">
        <v>4</v>
      </c>
      <c r="J588" t="b">
        <v>0</v>
      </c>
      <c r="L588">
        <v>36</v>
      </c>
      <c r="N588" t="s">
        <v>1107</v>
      </c>
      <c r="O588">
        <v>68.8</v>
      </c>
      <c r="P588">
        <v>6.81</v>
      </c>
      <c r="Q588" t="s">
        <v>1111</v>
      </c>
    </row>
    <row r="589" spans="1:17">
      <c r="A589" s="2">
        <v>45883</v>
      </c>
      <c r="B589">
        <v>6</v>
      </c>
      <c r="C589">
        <v>8</v>
      </c>
      <c r="D589" t="s">
        <v>1271</v>
      </c>
      <c r="E589" t="s">
        <v>136</v>
      </c>
      <c r="F589" t="s">
        <v>703</v>
      </c>
      <c r="G589">
        <v>3</v>
      </c>
      <c r="H589">
        <v>1</v>
      </c>
      <c r="I589">
        <v>6</v>
      </c>
      <c r="J589" t="b">
        <v>0</v>
      </c>
      <c r="L589">
        <v>36</v>
      </c>
      <c r="M589" t="s">
        <v>1219</v>
      </c>
      <c r="N589" t="s">
        <v>1107</v>
      </c>
      <c r="O589">
        <v>71.3</v>
      </c>
      <c r="P589">
        <v>5.08</v>
      </c>
      <c r="Q589" t="s">
        <v>1110</v>
      </c>
    </row>
    <row r="590" spans="1:17">
      <c r="A590" s="2">
        <v>45883</v>
      </c>
      <c r="B590">
        <v>6</v>
      </c>
      <c r="C590">
        <v>9</v>
      </c>
      <c r="D590" t="s">
        <v>20</v>
      </c>
      <c r="E590" t="s">
        <v>137</v>
      </c>
      <c r="F590" t="s">
        <v>704</v>
      </c>
      <c r="G590">
        <v>3</v>
      </c>
      <c r="H590">
        <v>5</v>
      </c>
      <c r="I590">
        <v>4</v>
      </c>
      <c r="J590" t="b">
        <v>0</v>
      </c>
      <c r="L590">
        <v>36</v>
      </c>
      <c r="M590" t="s">
        <v>1205</v>
      </c>
      <c r="N590" t="s">
        <v>1107</v>
      </c>
      <c r="O590">
        <v>75.8</v>
      </c>
      <c r="P590">
        <v>7.37</v>
      </c>
      <c r="Q590" t="s">
        <v>1110</v>
      </c>
    </row>
    <row r="591" spans="1:17">
      <c r="A591" s="2">
        <v>45883</v>
      </c>
      <c r="B591">
        <v>6</v>
      </c>
      <c r="C591">
        <v>10</v>
      </c>
      <c r="D591" t="s">
        <v>1113</v>
      </c>
      <c r="E591" t="s">
        <v>138</v>
      </c>
      <c r="F591" t="s">
        <v>705</v>
      </c>
      <c r="G591">
        <v>2</v>
      </c>
      <c r="H591">
        <v>1</v>
      </c>
      <c r="I591">
        <v>5</v>
      </c>
      <c r="J591" t="b">
        <v>0</v>
      </c>
      <c r="L591">
        <v>36</v>
      </c>
      <c r="M591" t="s">
        <v>1203</v>
      </c>
      <c r="N591" t="s">
        <v>1107</v>
      </c>
      <c r="O591">
        <v>75.7</v>
      </c>
      <c r="P591">
        <v>5.94</v>
      </c>
      <c r="Q591" t="s">
        <v>1110</v>
      </c>
    </row>
    <row r="592" spans="1:17">
      <c r="A592" s="2">
        <v>45883</v>
      </c>
      <c r="B592">
        <v>6</v>
      </c>
      <c r="C592">
        <v>11</v>
      </c>
      <c r="D592" t="s">
        <v>1272</v>
      </c>
      <c r="E592" t="s">
        <v>139</v>
      </c>
      <c r="F592" t="s">
        <v>706</v>
      </c>
      <c r="G592">
        <v>1</v>
      </c>
      <c r="H592">
        <v>3</v>
      </c>
      <c r="I592">
        <v>3</v>
      </c>
      <c r="J592" t="b">
        <v>0</v>
      </c>
      <c r="L592">
        <v>36</v>
      </c>
      <c r="M592" t="s">
        <v>1224</v>
      </c>
      <c r="N592" t="s">
        <v>1107</v>
      </c>
      <c r="O592">
        <v>72.900000000000006</v>
      </c>
      <c r="P592">
        <v>7.91</v>
      </c>
      <c r="Q592" t="s">
        <v>1111</v>
      </c>
    </row>
    <row r="593" spans="1:17">
      <c r="A593" s="2">
        <v>45883</v>
      </c>
      <c r="B593">
        <v>6</v>
      </c>
      <c r="C593">
        <v>12</v>
      </c>
      <c r="D593" t="s">
        <v>21</v>
      </c>
      <c r="E593" t="s">
        <v>140</v>
      </c>
      <c r="F593" t="s">
        <v>707</v>
      </c>
      <c r="G593">
        <v>3</v>
      </c>
      <c r="H593">
        <v>3</v>
      </c>
      <c r="I593">
        <v>3</v>
      </c>
      <c r="J593" t="b">
        <v>0</v>
      </c>
      <c r="L593">
        <v>36</v>
      </c>
      <c r="M593" t="s">
        <v>1206</v>
      </c>
      <c r="N593" t="s">
        <v>1107</v>
      </c>
      <c r="O593">
        <v>81.2</v>
      </c>
      <c r="P593">
        <v>7.06</v>
      </c>
      <c r="Q593" t="s">
        <v>1110</v>
      </c>
    </row>
    <row r="594" spans="1:17">
      <c r="A594" s="2">
        <v>45883</v>
      </c>
      <c r="B594">
        <v>6</v>
      </c>
      <c r="C594">
        <v>13</v>
      </c>
      <c r="D594" t="s">
        <v>22</v>
      </c>
      <c r="E594" t="s">
        <v>141</v>
      </c>
      <c r="F594" t="s">
        <v>708</v>
      </c>
      <c r="G594">
        <v>4</v>
      </c>
      <c r="H594">
        <v>3</v>
      </c>
      <c r="I594">
        <v>4</v>
      </c>
      <c r="J594" t="b">
        <v>0</v>
      </c>
      <c r="L594">
        <v>36</v>
      </c>
      <c r="M594" t="s">
        <v>1207</v>
      </c>
      <c r="N594" t="s">
        <v>1107</v>
      </c>
      <c r="O594">
        <v>72</v>
      </c>
      <c r="P594">
        <v>7.21</v>
      </c>
      <c r="Q594" t="s">
        <v>1110</v>
      </c>
    </row>
    <row r="595" spans="1:17">
      <c r="A595" s="2">
        <v>45883</v>
      </c>
      <c r="B595">
        <v>6</v>
      </c>
      <c r="C595">
        <v>14</v>
      </c>
      <c r="D595" t="s">
        <v>23</v>
      </c>
      <c r="E595" t="s">
        <v>142</v>
      </c>
      <c r="F595" t="s">
        <v>709</v>
      </c>
      <c r="G595">
        <v>1</v>
      </c>
      <c r="H595">
        <v>1</v>
      </c>
      <c r="I595">
        <v>4</v>
      </c>
      <c r="J595" t="b">
        <v>0</v>
      </c>
      <c r="L595">
        <v>36</v>
      </c>
      <c r="M595" t="s">
        <v>1219</v>
      </c>
      <c r="N595" t="s">
        <v>1107</v>
      </c>
      <c r="O595">
        <v>80.7</v>
      </c>
      <c r="P595">
        <v>7.4</v>
      </c>
      <c r="Q595" t="s">
        <v>1110</v>
      </c>
    </row>
    <row r="596" spans="1:17">
      <c r="A596" s="2">
        <v>45883</v>
      </c>
      <c r="B596">
        <v>6</v>
      </c>
      <c r="C596">
        <v>15</v>
      </c>
      <c r="D596" t="s">
        <v>24</v>
      </c>
      <c r="E596" t="s">
        <v>143</v>
      </c>
      <c r="F596" t="s">
        <v>710</v>
      </c>
      <c r="G596">
        <v>2</v>
      </c>
      <c r="H596">
        <v>1</v>
      </c>
      <c r="I596">
        <v>5</v>
      </c>
      <c r="J596" t="b">
        <v>0</v>
      </c>
      <c r="L596">
        <v>36</v>
      </c>
      <c r="M596" t="s">
        <v>1214</v>
      </c>
      <c r="N596" t="s">
        <v>1107</v>
      </c>
      <c r="O596">
        <v>64.5</v>
      </c>
      <c r="P596">
        <v>7.63</v>
      </c>
      <c r="Q596" t="s">
        <v>1111</v>
      </c>
    </row>
    <row r="597" spans="1:17">
      <c r="A597" s="2">
        <v>45883</v>
      </c>
      <c r="B597">
        <v>6</v>
      </c>
      <c r="C597">
        <v>16</v>
      </c>
      <c r="D597" t="s">
        <v>1273</v>
      </c>
      <c r="E597" t="s">
        <v>144</v>
      </c>
      <c r="F597" t="s">
        <v>711</v>
      </c>
      <c r="G597">
        <v>2</v>
      </c>
      <c r="H597">
        <v>3</v>
      </c>
      <c r="I597">
        <v>4</v>
      </c>
      <c r="J597" t="b">
        <v>0</v>
      </c>
      <c r="L597">
        <v>36</v>
      </c>
      <c r="M597" t="s">
        <v>1225</v>
      </c>
      <c r="N597" t="s">
        <v>1107</v>
      </c>
      <c r="O597">
        <v>65.599999999999994</v>
      </c>
      <c r="P597">
        <v>7.84</v>
      </c>
      <c r="Q597" t="s">
        <v>1111</v>
      </c>
    </row>
    <row r="598" spans="1:17">
      <c r="A598" s="2">
        <v>45883</v>
      </c>
      <c r="B598">
        <v>6</v>
      </c>
      <c r="C598">
        <v>17</v>
      </c>
      <c r="D598" t="s">
        <v>25</v>
      </c>
      <c r="E598" t="s">
        <v>145</v>
      </c>
      <c r="F598" t="s">
        <v>712</v>
      </c>
      <c r="G598">
        <v>5</v>
      </c>
      <c r="H598">
        <v>0</v>
      </c>
      <c r="I598">
        <v>9</v>
      </c>
      <c r="J598" t="b">
        <v>0</v>
      </c>
      <c r="K598" t="s">
        <v>1104</v>
      </c>
      <c r="L598">
        <v>36</v>
      </c>
      <c r="N598" t="s">
        <v>1107</v>
      </c>
      <c r="O598">
        <v>75.7</v>
      </c>
      <c r="P598">
        <v>7.72</v>
      </c>
      <c r="Q598" t="s">
        <v>1112</v>
      </c>
    </row>
    <row r="599" spans="1:17">
      <c r="A599" s="2">
        <v>45883</v>
      </c>
      <c r="B599">
        <v>6</v>
      </c>
      <c r="C599">
        <v>18</v>
      </c>
      <c r="D599" t="s">
        <v>26</v>
      </c>
      <c r="E599" t="s">
        <v>146</v>
      </c>
      <c r="F599" t="s">
        <v>713</v>
      </c>
      <c r="G599">
        <v>2</v>
      </c>
      <c r="H599">
        <v>0</v>
      </c>
      <c r="I599">
        <v>11</v>
      </c>
      <c r="J599" t="b">
        <v>0</v>
      </c>
      <c r="K599" t="s">
        <v>1104</v>
      </c>
      <c r="L599">
        <v>36</v>
      </c>
      <c r="N599" t="s">
        <v>1107</v>
      </c>
      <c r="O599">
        <v>77.5</v>
      </c>
      <c r="P599">
        <v>5.51</v>
      </c>
      <c r="Q599" t="s">
        <v>1110</v>
      </c>
    </row>
    <row r="600" spans="1:17">
      <c r="A600" s="2">
        <v>45883</v>
      </c>
      <c r="B600">
        <v>6</v>
      </c>
      <c r="C600">
        <v>19</v>
      </c>
      <c r="D600" t="s">
        <v>27</v>
      </c>
      <c r="E600" t="s">
        <v>147</v>
      </c>
      <c r="F600" t="s">
        <v>714</v>
      </c>
      <c r="G600">
        <v>2</v>
      </c>
      <c r="H600">
        <v>1</v>
      </c>
      <c r="I600">
        <v>12</v>
      </c>
      <c r="J600" t="b">
        <v>0</v>
      </c>
      <c r="K600" t="s">
        <v>1104</v>
      </c>
      <c r="L600">
        <v>36</v>
      </c>
      <c r="N600" t="s">
        <v>1107</v>
      </c>
      <c r="O600">
        <v>66.5</v>
      </c>
      <c r="P600">
        <v>5.27</v>
      </c>
      <c r="Q600" t="s">
        <v>1110</v>
      </c>
    </row>
    <row r="601" spans="1:17">
      <c r="A601" s="2">
        <v>45883</v>
      </c>
      <c r="B601">
        <v>6</v>
      </c>
      <c r="C601">
        <v>20</v>
      </c>
      <c r="D601" t="s">
        <v>28</v>
      </c>
      <c r="E601" t="s">
        <v>148</v>
      </c>
      <c r="F601" t="s">
        <v>715</v>
      </c>
      <c r="G601">
        <v>1</v>
      </c>
      <c r="H601">
        <v>4</v>
      </c>
      <c r="I601">
        <v>9</v>
      </c>
      <c r="J601" t="b">
        <v>0</v>
      </c>
      <c r="K601" t="s">
        <v>1104</v>
      </c>
      <c r="L601">
        <v>36</v>
      </c>
      <c r="M601">
        <v>5</v>
      </c>
      <c r="N601" t="s">
        <v>1108</v>
      </c>
      <c r="O601">
        <v>62.9</v>
      </c>
      <c r="P601">
        <v>7.16</v>
      </c>
      <c r="Q601" t="s">
        <v>1110</v>
      </c>
    </row>
    <row r="602" spans="1:17">
      <c r="A602" s="2">
        <v>45883</v>
      </c>
      <c r="B602">
        <v>7</v>
      </c>
      <c r="C602">
        <v>1</v>
      </c>
      <c r="D602" t="s">
        <v>17</v>
      </c>
      <c r="E602" t="s">
        <v>149</v>
      </c>
      <c r="F602" t="s">
        <v>716</v>
      </c>
      <c r="G602">
        <v>0</v>
      </c>
      <c r="H602">
        <v>0</v>
      </c>
      <c r="I602">
        <v>0</v>
      </c>
      <c r="J602" t="b">
        <v>0</v>
      </c>
      <c r="L602">
        <v>33</v>
      </c>
      <c r="N602" t="s">
        <v>1108</v>
      </c>
      <c r="O602">
        <v>71.3</v>
      </c>
      <c r="P602">
        <v>7.02</v>
      </c>
      <c r="Q602" t="s">
        <v>1110</v>
      </c>
    </row>
    <row r="603" spans="1:17">
      <c r="A603" s="2">
        <v>45883</v>
      </c>
      <c r="B603">
        <v>7</v>
      </c>
      <c r="C603">
        <v>2</v>
      </c>
      <c r="D603" t="s">
        <v>1269</v>
      </c>
      <c r="E603" t="s">
        <v>150</v>
      </c>
      <c r="F603" t="s">
        <v>717</v>
      </c>
      <c r="G603">
        <v>3</v>
      </c>
      <c r="H603">
        <v>0</v>
      </c>
      <c r="I603">
        <v>3</v>
      </c>
      <c r="J603" t="b">
        <v>0</v>
      </c>
      <c r="L603">
        <v>33</v>
      </c>
      <c r="N603" t="s">
        <v>1107</v>
      </c>
      <c r="O603">
        <v>64.8</v>
      </c>
      <c r="P603">
        <v>7.59</v>
      </c>
      <c r="Q603" t="s">
        <v>1110</v>
      </c>
    </row>
    <row r="604" spans="1:17">
      <c r="A604" s="2">
        <v>45883</v>
      </c>
      <c r="B604">
        <v>7</v>
      </c>
      <c r="C604">
        <v>3</v>
      </c>
      <c r="D604" t="s">
        <v>18</v>
      </c>
      <c r="E604" t="s">
        <v>151</v>
      </c>
      <c r="F604" t="s">
        <v>151</v>
      </c>
      <c r="G604">
        <v>3</v>
      </c>
      <c r="H604">
        <v>0</v>
      </c>
      <c r="I604">
        <v>6</v>
      </c>
      <c r="J604" t="b">
        <v>0</v>
      </c>
      <c r="L604">
        <v>33</v>
      </c>
      <c r="N604" t="s">
        <v>1107</v>
      </c>
      <c r="O604">
        <v>72.400000000000006</v>
      </c>
      <c r="P604">
        <v>5.39</v>
      </c>
      <c r="Q604" t="s">
        <v>1111</v>
      </c>
    </row>
    <row r="605" spans="1:17">
      <c r="A605" s="2">
        <v>45883</v>
      </c>
      <c r="B605">
        <v>7</v>
      </c>
      <c r="C605">
        <v>4</v>
      </c>
      <c r="D605" t="s">
        <v>19</v>
      </c>
      <c r="E605" t="s">
        <v>152</v>
      </c>
      <c r="F605" t="s">
        <v>718</v>
      </c>
      <c r="G605">
        <v>2</v>
      </c>
      <c r="H605">
        <v>4</v>
      </c>
      <c r="I605">
        <v>4</v>
      </c>
      <c r="J605" t="b">
        <v>0</v>
      </c>
      <c r="L605">
        <v>33</v>
      </c>
      <c r="M605">
        <v>7.9</v>
      </c>
      <c r="N605" t="s">
        <v>1107</v>
      </c>
      <c r="O605">
        <v>84.9</v>
      </c>
      <c r="P605">
        <v>5.85</v>
      </c>
      <c r="Q605" t="s">
        <v>1110</v>
      </c>
    </row>
    <row r="606" spans="1:17">
      <c r="A606" s="2">
        <v>45883</v>
      </c>
      <c r="B606">
        <v>7</v>
      </c>
      <c r="C606">
        <v>5</v>
      </c>
      <c r="D606" t="s">
        <v>1115</v>
      </c>
      <c r="E606" t="s">
        <v>153</v>
      </c>
      <c r="F606" t="s">
        <v>719</v>
      </c>
      <c r="G606">
        <v>2</v>
      </c>
      <c r="H606">
        <v>0</v>
      </c>
      <c r="I606">
        <v>6</v>
      </c>
      <c r="J606" t="b">
        <v>0</v>
      </c>
      <c r="L606">
        <v>33</v>
      </c>
      <c r="N606" t="s">
        <v>1107</v>
      </c>
      <c r="O606">
        <v>70.2</v>
      </c>
      <c r="P606">
        <v>5.44</v>
      </c>
      <c r="Q606" t="s">
        <v>1110</v>
      </c>
    </row>
    <row r="607" spans="1:17">
      <c r="A607" s="2">
        <v>45883</v>
      </c>
      <c r="B607">
        <v>7</v>
      </c>
      <c r="C607">
        <v>6</v>
      </c>
      <c r="D607" t="s">
        <v>1270</v>
      </c>
      <c r="E607" t="s">
        <v>154</v>
      </c>
      <c r="F607" t="s">
        <v>720</v>
      </c>
      <c r="G607">
        <v>0</v>
      </c>
      <c r="H607">
        <v>2</v>
      </c>
      <c r="I607">
        <v>4</v>
      </c>
      <c r="J607" t="b">
        <v>0</v>
      </c>
      <c r="L607">
        <v>33</v>
      </c>
      <c r="M607">
        <v>7.8</v>
      </c>
      <c r="N607" t="s">
        <v>1107</v>
      </c>
      <c r="O607">
        <v>75.400000000000006</v>
      </c>
      <c r="P607">
        <v>7.72</v>
      </c>
      <c r="Q607" t="s">
        <v>1110</v>
      </c>
    </row>
    <row r="608" spans="1:17">
      <c r="A608" s="2">
        <v>45883</v>
      </c>
      <c r="B608">
        <v>7</v>
      </c>
      <c r="C608">
        <v>7</v>
      </c>
      <c r="D608" t="s">
        <v>1114</v>
      </c>
      <c r="E608" t="s">
        <v>155</v>
      </c>
      <c r="F608" t="s">
        <v>721</v>
      </c>
      <c r="G608">
        <v>1</v>
      </c>
      <c r="H608">
        <v>2</v>
      </c>
      <c r="I608">
        <v>3</v>
      </c>
      <c r="J608" t="b">
        <v>0</v>
      </c>
      <c r="L608">
        <v>33</v>
      </c>
      <c r="M608">
        <v>7.7</v>
      </c>
      <c r="N608" t="s">
        <v>1107</v>
      </c>
      <c r="O608">
        <v>71.5</v>
      </c>
      <c r="P608">
        <v>5.03</v>
      </c>
      <c r="Q608" t="s">
        <v>1110</v>
      </c>
    </row>
    <row r="609" spans="1:17">
      <c r="A609" s="2">
        <v>45883</v>
      </c>
      <c r="B609">
        <v>7</v>
      </c>
      <c r="C609">
        <v>8</v>
      </c>
      <c r="D609" t="s">
        <v>1271</v>
      </c>
      <c r="E609" t="s">
        <v>156</v>
      </c>
      <c r="F609" t="s">
        <v>722</v>
      </c>
      <c r="G609">
        <v>3</v>
      </c>
      <c r="H609">
        <v>2</v>
      </c>
      <c r="I609">
        <v>4</v>
      </c>
      <c r="J609" t="b">
        <v>0</v>
      </c>
      <c r="L609">
        <v>33</v>
      </c>
      <c r="M609">
        <v>7.5</v>
      </c>
      <c r="N609" t="s">
        <v>1107</v>
      </c>
      <c r="O609">
        <v>77.3</v>
      </c>
      <c r="P609">
        <v>7.06</v>
      </c>
      <c r="Q609" t="s">
        <v>1110</v>
      </c>
    </row>
    <row r="610" spans="1:17">
      <c r="A610" s="2">
        <v>45883</v>
      </c>
      <c r="B610">
        <v>7</v>
      </c>
      <c r="C610">
        <v>9</v>
      </c>
      <c r="D610" t="s">
        <v>20</v>
      </c>
      <c r="E610" t="s">
        <v>157</v>
      </c>
      <c r="F610" t="s">
        <v>723</v>
      </c>
      <c r="G610">
        <v>5</v>
      </c>
      <c r="H610">
        <v>1</v>
      </c>
      <c r="I610">
        <v>8</v>
      </c>
      <c r="J610" t="b">
        <v>0</v>
      </c>
      <c r="L610">
        <v>33</v>
      </c>
      <c r="M610">
        <v>7.7</v>
      </c>
      <c r="N610" t="s">
        <v>1107</v>
      </c>
      <c r="O610">
        <v>78.400000000000006</v>
      </c>
      <c r="P610">
        <v>5.77</v>
      </c>
      <c r="Q610" t="s">
        <v>1110</v>
      </c>
    </row>
    <row r="611" spans="1:17">
      <c r="A611" s="2">
        <v>45883</v>
      </c>
      <c r="B611">
        <v>7</v>
      </c>
      <c r="C611">
        <v>10</v>
      </c>
      <c r="D611" t="s">
        <v>1113</v>
      </c>
      <c r="E611" t="s">
        <v>158</v>
      </c>
      <c r="F611" t="s">
        <v>442</v>
      </c>
      <c r="G611">
        <v>0</v>
      </c>
      <c r="H611">
        <v>4</v>
      </c>
      <c r="I611">
        <v>4</v>
      </c>
      <c r="J611" t="b">
        <v>0</v>
      </c>
      <c r="L611">
        <v>33</v>
      </c>
      <c r="M611">
        <v>8</v>
      </c>
      <c r="N611" t="s">
        <v>1107</v>
      </c>
      <c r="O611">
        <v>68.3</v>
      </c>
      <c r="P611">
        <v>5.7</v>
      </c>
      <c r="Q611" t="s">
        <v>1111</v>
      </c>
    </row>
    <row r="612" spans="1:17">
      <c r="A612" s="2">
        <v>45883</v>
      </c>
      <c r="B612">
        <v>7</v>
      </c>
      <c r="C612">
        <v>11</v>
      </c>
      <c r="D612" t="s">
        <v>1272</v>
      </c>
      <c r="E612" t="s">
        <v>159</v>
      </c>
      <c r="F612" t="s">
        <v>724</v>
      </c>
      <c r="G612">
        <v>2</v>
      </c>
      <c r="H612">
        <v>0</v>
      </c>
      <c r="I612">
        <v>6</v>
      </c>
      <c r="J612" t="b">
        <v>0</v>
      </c>
      <c r="L612">
        <v>33</v>
      </c>
      <c r="N612" t="s">
        <v>1106</v>
      </c>
      <c r="O612">
        <v>83.5</v>
      </c>
      <c r="P612">
        <v>7.9</v>
      </c>
      <c r="Q612" t="s">
        <v>1110</v>
      </c>
    </row>
    <row r="613" spans="1:17">
      <c r="A613" s="2">
        <v>45883</v>
      </c>
      <c r="B613">
        <v>7</v>
      </c>
      <c r="C613">
        <v>12</v>
      </c>
      <c r="D613" t="s">
        <v>21</v>
      </c>
      <c r="E613" t="s">
        <v>160</v>
      </c>
      <c r="F613" t="s">
        <v>725</v>
      </c>
      <c r="G613">
        <v>4</v>
      </c>
      <c r="H613">
        <v>1</v>
      </c>
      <c r="I613">
        <v>9</v>
      </c>
      <c r="J613" t="b">
        <v>0</v>
      </c>
      <c r="L613">
        <v>33</v>
      </c>
      <c r="M613">
        <v>7.2</v>
      </c>
      <c r="N613" t="s">
        <v>1107</v>
      </c>
      <c r="O613">
        <v>61.1</v>
      </c>
      <c r="P613">
        <v>5.76</v>
      </c>
      <c r="Q613" t="s">
        <v>1110</v>
      </c>
    </row>
    <row r="614" spans="1:17">
      <c r="A614" s="2">
        <v>45883</v>
      </c>
      <c r="B614">
        <v>7</v>
      </c>
      <c r="C614">
        <v>13</v>
      </c>
      <c r="D614" t="s">
        <v>22</v>
      </c>
      <c r="E614" t="s">
        <v>161</v>
      </c>
      <c r="F614" t="s">
        <v>726</v>
      </c>
      <c r="G614">
        <v>4</v>
      </c>
      <c r="H614">
        <v>4</v>
      </c>
      <c r="I614">
        <v>9</v>
      </c>
      <c r="J614" t="b">
        <v>0</v>
      </c>
      <c r="L614">
        <v>33</v>
      </c>
      <c r="M614">
        <v>6.6</v>
      </c>
      <c r="N614" t="s">
        <v>1107</v>
      </c>
      <c r="O614">
        <v>69.900000000000006</v>
      </c>
      <c r="P614">
        <v>6.11</v>
      </c>
      <c r="Q614" t="s">
        <v>1112</v>
      </c>
    </row>
    <row r="615" spans="1:17">
      <c r="A615" s="2">
        <v>45883</v>
      </c>
      <c r="B615">
        <v>7</v>
      </c>
      <c r="C615">
        <v>14</v>
      </c>
      <c r="D615" t="s">
        <v>23</v>
      </c>
      <c r="E615" t="s">
        <v>162</v>
      </c>
      <c r="F615" t="s">
        <v>727</v>
      </c>
      <c r="G615">
        <v>1</v>
      </c>
      <c r="H615">
        <v>2</v>
      </c>
      <c r="I615">
        <v>8</v>
      </c>
      <c r="J615" t="b">
        <v>0</v>
      </c>
      <c r="L615">
        <v>33</v>
      </c>
      <c r="M615">
        <v>7.8</v>
      </c>
      <c r="N615" t="s">
        <v>1107</v>
      </c>
      <c r="O615">
        <v>74.5</v>
      </c>
      <c r="P615">
        <v>5.78</v>
      </c>
      <c r="Q615" t="s">
        <v>1110</v>
      </c>
    </row>
    <row r="616" spans="1:17">
      <c r="A616" s="2">
        <v>45883</v>
      </c>
      <c r="B616">
        <v>7</v>
      </c>
      <c r="C616">
        <v>15</v>
      </c>
      <c r="D616" t="s">
        <v>24</v>
      </c>
      <c r="E616" t="s">
        <v>163</v>
      </c>
      <c r="F616" t="s">
        <v>728</v>
      </c>
      <c r="G616">
        <v>1</v>
      </c>
      <c r="H616">
        <v>0</v>
      </c>
      <c r="I616">
        <v>9</v>
      </c>
      <c r="J616" t="b">
        <v>0</v>
      </c>
      <c r="L616">
        <v>33</v>
      </c>
      <c r="N616" t="s">
        <v>1108</v>
      </c>
      <c r="O616">
        <v>81.900000000000006</v>
      </c>
      <c r="P616">
        <v>5.4</v>
      </c>
      <c r="Q616" t="s">
        <v>1110</v>
      </c>
    </row>
    <row r="617" spans="1:17">
      <c r="A617" s="2">
        <v>45883</v>
      </c>
      <c r="B617">
        <v>7</v>
      </c>
      <c r="C617">
        <v>16</v>
      </c>
      <c r="D617" t="s">
        <v>1273</v>
      </c>
      <c r="E617" t="s">
        <v>164</v>
      </c>
      <c r="F617" t="s">
        <v>729</v>
      </c>
      <c r="G617">
        <v>3</v>
      </c>
      <c r="H617">
        <v>4</v>
      </c>
      <c r="I617">
        <v>8</v>
      </c>
      <c r="J617" t="b">
        <v>0</v>
      </c>
      <c r="L617">
        <v>33</v>
      </c>
      <c r="N617" t="s">
        <v>1107</v>
      </c>
      <c r="O617">
        <v>63.5</v>
      </c>
      <c r="P617">
        <v>5.35</v>
      </c>
      <c r="Q617" t="s">
        <v>1110</v>
      </c>
    </row>
    <row r="618" spans="1:17">
      <c r="A618" s="2">
        <v>45883</v>
      </c>
      <c r="B618">
        <v>7</v>
      </c>
      <c r="C618">
        <v>17</v>
      </c>
      <c r="D618" t="s">
        <v>25</v>
      </c>
      <c r="E618" t="s">
        <v>165</v>
      </c>
      <c r="F618" t="s">
        <v>730</v>
      </c>
      <c r="G618">
        <v>4</v>
      </c>
      <c r="H618">
        <v>3</v>
      </c>
      <c r="I618">
        <v>9</v>
      </c>
      <c r="J618" t="b">
        <v>0</v>
      </c>
      <c r="K618" t="s">
        <v>1104</v>
      </c>
      <c r="L618">
        <v>33</v>
      </c>
      <c r="M618">
        <v>4.0999999999999996</v>
      </c>
      <c r="N618" t="s">
        <v>1107</v>
      </c>
      <c r="O618">
        <v>81.8</v>
      </c>
      <c r="P618">
        <v>7.5</v>
      </c>
      <c r="Q618" t="s">
        <v>1110</v>
      </c>
    </row>
    <row r="619" spans="1:17">
      <c r="A619" s="2">
        <v>45883</v>
      </c>
      <c r="B619">
        <v>7</v>
      </c>
      <c r="C619">
        <v>18</v>
      </c>
      <c r="D619" t="s">
        <v>26</v>
      </c>
      <c r="E619" t="s">
        <v>166</v>
      </c>
      <c r="F619" t="s">
        <v>731</v>
      </c>
      <c r="G619">
        <v>4</v>
      </c>
      <c r="H619">
        <v>5</v>
      </c>
      <c r="I619">
        <v>8</v>
      </c>
      <c r="J619" t="b">
        <v>0</v>
      </c>
      <c r="K619" t="s">
        <v>1104</v>
      </c>
      <c r="L619">
        <v>33</v>
      </c>
      <c r="M619">
        <v>4.3</v>
      </c>
      <c r="N619" t="s">
        <v>1108</v>
      </c>
      <c r="O619">
        <v>67.099999999999994</v>
      </c>
      <c r="P619">
        <v>7.63</v>
      </c>
      <c r="Q619" t="s">
        <v>1110</v>
      </c>
    </row>
    <row r="620" spans="1:17">
      <c r="A620" s="2">
        <v>45883</v>
      </c>
      <c r="B620">
        <v>7</v>
      </c>
      <c r="C620">
        <v>19</v>
      </c>
      <c r="D620" t="s">
        <v>27</v>
      </c>
      <c r="E620" t="s">
        <v>167</v>
      </c>
      <c r="F620" t="s">
        <v>732</v>
      </c>
      <c r="G620">
        <v>1</v>
      </c>
      <c r="H620">
        <v>5</v>
      </c>
      <c r="I620">
        <v>4</v>
      </c>
      <c r="J620" t="b">
        <v>0</v>
      </c>
      <c r="K620" t="s">
        <v>1104</v>
      </c>
      <c r="L620">
        <v>33</v>
      </c>
      <c r="M620">
        <v>4.0999999999999996</v>
      </c>
      <c r="N620" t="s">
        <v>1107</v>
      </c>
      <c r="O620">
        <v>66.599999999999994</v>
      </c>
      <c r="P620">
        <v>5.94</v>
      </c>
      <c r="Q620" t="s">
        <v>1111</v>
      </c>
    </row>
    <row r="621" spans="1:17">
      <c r="A621" s="2">
        <v>45883</v>
      </c>
      <c r="B621">
        <v>7</v>
      </c>
      <c r="C621">
        <v>20</v>
      </c>
      <c r="D621" t="s">
        <v>28</v>
      </c>
      <c r="E621" t="s">
        <v>168</v>
      </c>
      <c r="F621" t="s">
        <v>733</v>
      </c>
      <c r="G621">
        <v>4</v>
      </c>
      <c r="H621">
        <v>0</v>
      </c>
      <c r="I621">
        <v>8</v>
      </c>
      <c r="J621" t="b">
        <v>0</v>
      </c>
      <c r="K621" t="s">
        <v>1104</v>
      </c>
      <c r="L621">
        <v>33</v>
      </c>
      <c r="N621" t="s">
        <v>1107</v>
      </c>
      <c r="O621">
        <v>84.9</v>
      </c>
      <c r="P621">
        <v>7.29</v>
      </c>
      <c r="Q621" t="s">
        <v>1110</v>
      </c>
    </row>
    <row r="622" spans="1:17">
      <c r="A622" s="2">
        <v>45883</v>
      </c>
      <c r="B622">
        <v>8</v>
      </c>
      <c r="C622">
        <v>1</v>
      </c>
      <c r="D622" t="s">
        <v>17</v>
      </c>
      <c r="E622" t="s">
        <v>169</v>
      </c>
      <c r="F622" t="s">
        <v>733</v>
      </c>
      <c r="G622">
        <v>0</v>
      </c>
      <c r="H622">
        <v>0</v>
      </c>
      <c r="I622">
        <v>0</v>
      </c>
      <c r="J622" t="b">
        <v>0</v>
      </c>
      <c r="L622">
        <v>36</v>
      </c>
      <c r="N622" t="s">
        <v>1107</v>
      </c>
      <c r="O622">
        <v>76.400000000000006</v>
      </c>
      <c r="P622">
        <v>7.39</v>
      </c>
      <c r="Q622" t="s">
        <v>1110</v>
      </c>
    </row>
    <row r="623" spans="1:17">
      <c r="A623" s="2">
        <v>45883</v>
      </c>
      <c r="B623">
        <v>8</v>
      </c>
      <c r="C623">
        <v>2</v>
      </c>
      <c r="D623" t="s">
        <v>1269</v>
      </c>
      <c r="E623" t="s">
        <v>170</v>
      </c>
      <c r="F623" t="s">
        <v>734</v>
      </c>
      <c r="G623">
        <v>4</v>
      </c>
      <c r="H623">
        <v>0</v>
      </c>
      <c r="I623">
        <v>4</v>
      </c>
      <c r="J623" t="b">
        <v>0</v>
      </c>
      <c r="L623">
        <v>36</v>
      </c>
      <c r="N623" t="s">
        <v>1107</v>
      </c>
      <c r="O623">
        <v>65.7</v>
      </c>
      <c r="P623">
        <v>5.1100000000000003</v>
      </c>
      <c r="Q623" t="s">
        <v>1110</v>
      </c>
    </row>
    <row r="624" spans="1:17">
      <c r="A624" s="2">
        <v>45883</v>
      </c>
      <c r="B624">
        <v>8</v>
      </c>
      <c r="C624">
        <v>3</v>
      </c>
      <c r="D624" t="s">
        <v>18</v>
      </c>
      <c r="E624" t="s">
        <v>171</v>
      </c>
      <c r="F624" t="s">
        <v>735</v>
      </c>
      <c r="G624">
        <v>4</v>
      </c>
      <c r="H624">
        <v>0</v>
      </c>
      <c r="I624">
        <v>8</v>
      </c>
      <c r="J624" t="b">
        <v>0</v>
      </c>
      <c r="L624">
        <v>36</v>
      </c>
      <c r="N624" t="s">
        <v>1107</v>
      </c>
      <c r="O624">
        <v>70.900000000000006</v>
      </c>
      <c r="P624">
        <v>7.99</v>
      </c>
      <c r="Q624" t="s">
        <v>1111</v>
      </c>
    </row>
    <row r="625" spans="1:17">
      <c r="A625" s="2">
        <v>45883</v>
      </c>
      <c r="B625">
        <v>8</v>
      </c>
      <c r="C625">
        <v>4</v>
      </c>
      <c r="D625" t="s">
        <v>19</v>
      </c>
      <c r="E625" t="s">
        <v>172</v>
      </c>
      <c r="F625" t="s">
        <v>736</v>
      </c>
      <c r="G625">
        <v>4</v>
      </c>
      <c r="H625">
        <v>4</v>
      </c>
      <c r="I625">
        <v>8</v>
      </c>
      <c r="J625" t="b">
        <v>0</v>
      </c>
      <c r="L625">
        <v>36</v>
      </c>
      <c r="M625" t="s">
        <v>1219</v>
      </c>
      <c r="N625" t="s">
        <v>1107</v>
      </c>
      <c r="O625">
        <v>68.900000000000006</v>
      </c>
      <c r="P625">
        <v>7.13</v>
      </c>
      <c r="Q625" t="s">
        <v>1110</v>
      </c>
    </row>
    <row r="626" spans="1:17">
      <c r="A626" s="2">
        <v>45883</v>
      </c>
      <c r="B626">
        <v>8</v>
      </c>
      <c r="C626">
        <v>5</v>
      </c>
      <c r="D626" t="s">
        <v>1115</v>
      </c>
      <c r="E626" t="s">
        <v>173</v>
      </c>
      <c r="F626" t="s">
        <v>737</v>
      </c>
      <c r="G626">
        <v>0</v>
      </c>
      <c r="H626">
        <v>3</v>
      </c>
      <c r="I626">
        <v>5</v>
      </c>
      <c r="J626" t="b">
        <v>0</v>
      </c>
      <c r="L626">
        <v>36</v>
      </c>
      <c r="M626" t="s">
        <v>1215</v>
      </c>
      <c r="N626" t="s">
        <v>1107</v>
      </c>
      <c r="O626">
        <v>81.099999999999994</v>
      </c>
      <c r="P626">
        <v>7.6</v>
      </c>
      <c r="Q626" t="s">
        <v>1110</v>
      </c>
    </row>
    <row r="627" spans="1:17">
      <c r="A627" s="2">
        <v>45883</v>
      </c>
      <c r="B627">
        <v>8</v>
      </c>
      <c r="C627">
        <v>6</v>
      </c>
      <c r="D627" t="s">
        <v>1270</v>
      </c>
      <c r="E627" t="s">
        <v>174</v>
      </c>
      <c r="F627" t="s">
        <v>738</v>
      </c>
      <c r="G627">
        <v>0</v>
      </c>
      <c r="H627">
        <v>5</v>
      </c>
      <c r="I627">
        <v>0</v>
      </c>
      <c r="J627" t="b">
        <v>1</v>
      </c>
      <c r="L627">
        <v>36</v>
      </c>
      <c r="M627" t="s">
        <v>1206</v>
      </c>
      <c r="N627" t="s">
        <v>1107</v>
      </c>
      <c r="O627">
        <v>93.7</v>
      </c>
      <c r="P627">
        <v>5.54</v>
      </c>
      <c r="Q627" t="s">
        <v>1110</v>
      </c>
    </row>
    <row r="628" spans="1:17">
      <c r="A628" s="2">
        <v>45883</v>
      </c>
      <c r="B628">
        <v>8</v>
      </c>
      <c r="C628">
        <v>7</v>
      </c>
      <c r="D628" t="s">
        <v>1114</v>
      </c>
      <c r="E628" t="s">
        <v>175</v>
      </c>
      <c r="G628">
        <v>0</v>
      </c>
      <c r="H628">
        <v>0</v>
      </c>
      <c r="I628">
        <v>0</v>
      </c>
      <c r="J628" t="b">
        <v>1</v>
      </c>
      <c r="K628" t="s">
        <v>1105</v>
      </c>
      <c r="L628">
        <v>36</v>
      </c>
      <c r="N628" t="s">
        <v>1107</v>
      </c>
      <c r="O628">
        <v>87.7</v>
      </c>
      <c r="P628">
        <v>7.67</v>
      </c>
      <c r="Q628" t="s">
        <v>1110</v>
      </c>
    </row>
    <row r="629" spans="1:17">
      <c r="A629" s="2">
        <v>45883</v>
      </c>
      <c r="B629">
        <v>8</v>
      </c>
      <c r="C629">
        <v>8</v>
      </c>
      <c r="D629" t="s">
        <v>1271</v>
      </c>
      <c r="E629" t="s">
        <v>176</v>
      </c>
      <c r="G629">
        <v>0</v>
      </c>
      <c r="H629">
        <v>0</v>
      </c>
      <c r="I629">
        <v>0</v>
      </c>
      <c r="J629" t="b">
        <v>1</v>
      </c>
      <c r="K629" t="s">
        <v>1105</v>
      </c>
      <c r="L629">
        <v>36</v>
      </c>
      <c r="N629" t="s">
        <v>1107</v>
      </c>
      <c r="O629">
        <v>94.7</v>
      </c>
      <c r="P629">
        <v>6.58</v>
      </c>
      <c r="Q629" t="s">
        <v>1110</v>
      </c>
    </row>
    <row r="630" spans="1:17">
      <c r="A630" s="2">
        <v>45883</v>
      </c>
      <c r="B630">
        <v>8</v>
      </c>
      <c r="C630">
        <v>9</v>
      </c>
      <c r="D630" t="s">
        <v>20</v>
      </c>
      <c r="E630" t="s">
        <v>177</v>
      </c>
      <c r="G630">
        <v>0</v>
      </c>
      <c r="H630">
        <v>0</v>
      </c>
      <c r="I630">
        <v>0</v>
      </c>
      <c r="J630" t="b">
        <v>1</v>
      </c>
      <c r="K630" t="s">
        <v>1105</v>
      </c>
      <c r="L630">
        <v>36</v>
      </c>
      <c r="N630" t="s">
        <v>1107</v>
      </c>
      <c r="O630">
        <v>85.8</v>
      </c>
      <c r="P630">
        <v>7.3</v>
      </c>
      <c r="Q630" t="s">
        <v>1110</v>
      </c>
    </row>
    <row r="631" spans="1:17">
      <c r="A631" s="2">
        <v>45883</v>
      </c>
      <c r="B631">
        <v>8</v>
      </c>
      <c r="C631">
        <v>10</v>
      </c>
      <c r="D631" t="s">
        <v>1113</v>
      </c>
      <c r="E631" t="s">
        <v>178</v>
      </c>
      <c r="G631">
        <v>0</v>
      </c>
      <c r="H631">
        <v>0</v>
      </c>
      <c r="I631">
        <v>0</v>
      </c>
      <c r="J631" t="b">
        <v>1</v>
      </c>
      <c r="K631" t="s">
        <v>1105</v>
      </c>
      <c r="L631">
        <v>36</v>
      </c>
      <c r="N631" t="s">
        <v>1107</v>
      </c>
      <c r="O631">
        <v>85.3</v>
      </c>
      <c r="P631">
        <v>7.04</v>
      </c>
      <c r="Q631" t="s">
        <v>1110</v>
      </c>
    </row>
    <row r="632" spans="1:17">
      <c r="A632" s="2">
        <v>45883</v>
      </c>
      <c r="B632">
        <v>8</v>
      </c>
      <c r="C632">
        <v>11</v>
      </c>
      <c r="D632" t="s">
        <v>1272</v>
      </c>
      <c r="E632" t="s">
        <v>179</v>
      </c>
      <c r="G632">
        <v>0</v>
      </c>
      <c r="H632">
        <v>0</v>
      </c>
      <c r="I632">
        <v>0</v>
      </c>
      <c r="J632" t="b">
        <v>1</v>
      </c>
      <c r="K632" t="s">
        <v>1105</v>
      </c>
      <c r="L632">
        <v>36</v>
      </c>
      <c r="N632" t="s">
        <v>1107</v>
      </c>
      <c r="O632">
        <v>90.9</v>
      </c>
      <c r="P632">
        <v>7.85</v>
      </c>
      <c r="Q632" t="s">
        <v>1111</v>
      </c>
    </row>
    <row r="633" spans="1:17">
      <c r="A633" s="2">
        <v>45883</v>
      </c>
      <c r="B633">
        <v>8</v>
      </c>
      <c r="C633">
        <v>12</v>
      </c>
      <c r="D633" t="s">
        <v>21</v>
      </c>
      <c r="E633" t="s">
        <v>180</v>
      </c>
      <c r="G633">
        <v>0</v>
      </c>
      <c r="H633">
        <v>0</v>
      </c>
      <c r="I633">
        <v>0</v>
      </c>
      <c r="J633" t="b">
        <v>1</v>
      </c>
      <c r="K633" t="s">
        <v>1105</v>
      </c>
      <c r="L633">
        <v>36</v>
      </c>
      <c r="N633" t="s">
        <v>1107</v>
      </c>
      <c r="O633">
        <v>85.8</v>
      </c>
      <c r="P633">
        <v>7.49</v>
      </c>
      <c r="Q633" t="s">
        <v>1110</v>
      </c>
    </row>
    <row r="634" spans="1:17">
      <c r="A634" s="2">
        <v>45883</v>
      </c>
      <c r="B634">
        <v>8</v>
      </c>
      <c r="C634">
        <v>13</v>
      </c>
      <c r="D634" t="s">
        <v>22</v>
      </c>
      <c r="E634" t="s">
        <v>181</v>
      </c>
      <c r="G634">
        <v>0</v>
      </c>
      <c r="H634">
        <v>0</v>
      </c>
      <c r="I634">
        <v>0</v>
      </c>
      <c r="J634" t="b">
        <v>1</v>
      </c>
      <c r="K634" t="s">
        <v>1105</v>
      </c>
      <c r="L634">
        <v>36</v>
      </c>
      <c r="N634" t="s">
        <v>1107</v>
      </c>
      <c r="O634">
        <v>94.6</v>
      </c>
      <c r="P634">
        <v>6.78</v>
      </c>
      <c r="Q634" t="s">
        <v>1110</v>
      </c>
    </row>
    <row r="635" spans="1:17">
      <c r="A635" s="2">
        <v>45883</v>
      </c>
      <c r="B635">
        <v>8</v>
      </c>
      <c r="C635">
        <v>14</v>
      </c>
      <c r="D635" t="s">
        <v>23</v>
      </c>
      <c r="E635" t="s">
        <v>182</v>
      </c>
      <c r="G635">
        <v>0</v>
      </c>
      <c r="H635">
        <v>0</v>
      </c>
      <c r="I635">
        <v>0</v>
      </c>
      <c r="J635" t="b">
        <v>1</v>
      </c>
      <c r="K635" t="s">
        <v>1105</v>
      </c>
      <c r="L635">
        <v>36</v>
      </c>
      <c r="N635" t="s">
        <v>1109</v>
      </c>
      <c r="O635">
        <v>91.6</v>
      </c>
      <c r="P635">
        <v>7.85</v>
      </c>
      <c r="Q635" t="s">
        <v>1110</v>
      </c>
    </row>
    <row r="636" spans="1:17">
      <c r="A636" s="2">
        <v>45883</v>
      </c>
      <c r="B636">
        <v>8</v>
      </c>
      <c r="C636">
        <v>15</v>
      </c>
      <c r="D636" t="s">
        <v>24</v>
      </c>
      <c r="E636" t="s">
        <v>183</v>
      </c>
      <c r="G636">
        <v>0</v>
      </c>
      <c r="H636">
        <v>0</v>
      </c>
      <c r="I636">
        <v>0</v>
      </c>
      <c r="J636" t="b">
        <v>1</v>
      </c>
      <c r="K636" t="s">
        <v>1105</v>
      </c>
      <c r="L636">
        <v>36</v>
      </c>
      <c r="N636" t="s">
        <v>1107</v>
      </c>
      <c r="O636">
        <v>92.3</v>
      </c>
      <c r="P636">
        <v>7.87</v>
      </c>
      <c r="Q636" t="s">
        <v>1110</v>
      </c>
    </row>
    <row r="637" spans="1:17">
      <c r="A637" s="2">
        <v>45883</v>
      </c>
      <c r="B637">
        <v>8</v>
      </c>
      <c r="C637">
        <v>16</v>
      </c>
      <c r="D637" t="s">
        <v>1273</v>
      </c>
      <c r="E637" t="s">
        <v>184</v>
      </c>
      <c r="G637">
        <v>0</v>
      </c>
      <c r="H637">
        <v>0</v>
      </c>
      <c r="I637">
        <v>0</v>
      </c>
      <c r="J637" t="b">
        <v>1</v>
      </c>
      <c r="K637" t="s">
        <v>1105</v>
      </c>
      <c r="L637">
        <v>36</v>
      </c>
      <c r="N637" t="s">
        <v>1107</v>
      </c>
      <c r="O637">
        <v>85.5</v>
      </c>
      <c r="P637">
        <v>6.93</v>
      </c>
      <c r="Q637" t="s">
        <v>1110</v>
      </c>
    </row>
    <row r="638" spans="1:17">
      <c r="A638" s="2">
        <v>45883</v>
      </c>
      <c r="B638">
        <v>8</v>
      </c>
      <c r="C638">
        <v>17</v>
      </c>
      <c r="D638" t="s">
        <v>25</v>
      </c>
      <c r="E638" t="s">
        <v>185</v>
      </c>
      <c r="G638">
        <v>0</v>
      </c>
      <c r="H638">
        <v>0</v>
      </c>
      <c r="I638">
        <v>0</v>
      </c>
      <c r="J638" t="b">
        <v>1</v>
      </c>
      <c r="K638" t="s">
        <v>1105</v>
      </c>
      <c r="L638">
        <v>36</v>
      </c>
      <c r="N638" t="s">
        <v>1107</v>
      </c>
      <c r="O638">
        <v>85.7</v>
      </c>
      <c r="P638">
        <v>7.86</v>
      </c>
      <c r="Q638" t="s">
        <v>1110</v>
      </c>
    </row>
    <row r="639" spans="1:17">
      <c r="A639" s="2">
        <v>45883</v>
      </c>
      <c r="B639">
        <v>8</v>
      </c>
      <c r="C639">
        <v>18</v>
      </c>
      <c r="D639" t="s">
        <v>26</v>
      </c>
      <c r="E639" t="s">
        <v>186</v>
      </c>
      <c r="G639">
        <v>0</v>
      </c>
      <c r="H639">
        <v>0</v>
      </c>
      <c r="I639">
        <v>0</v>
      </c>
      <c r="J639" t="b">
        <v>1</v>
      </c>
      <c r="K639" t="s">
        <v>1105</v>
      </c>
      <c r="L639">
        <v>36</v>
      </c>
      <c r="N639" t="s">
        <v>1107</v>
      </c>
      <c r="O639">
        <v>86.8</v>
      </c>
      <c r="P639">
        <v>7.9</v>
      </c>
      <c r="Q639" t="s">
        <v>1111</v>
      </c>
    </row>
    <row r="640" spans="1:17">
      <c r="A640" s="2">
        <v>45883</v>
      </c>
      <c r="B640">
        <v>8</v>
      </c>
      <c r="C640">
        <v>19</v>
      </c>
      <c r="D640" t="s">
        <v>27</v>
      </c>
      <c r="E640" t="s">
        <v>187</v>
      </c>
      <c r="G640">
        <v>0</v>
      </c>
      <c r="H640">
        <v>0</v>
      </c>
      <c r="I640">
        <v>0</v>
      </c>
      <c r="J640" t="b">
        <v>1</v>
      </c>
      <c r="K640" t="s">
        <v>1105</v>
      </c>
      <c r="L640">
        <v>36</v>
      </c>
      <c r="N640" t="s">
        <v>1107</v>
      </c>
      <c r="O640">
        <v>93.5</v>
      </c>
      <c r="P640">
        <v>5.49</v>
      </c>
      <c r="Q640" t="s">
        <v>1110</v>
      </c>
    </row>
    <row r="641" spans="1:17">
      <c r="A641" s="2">
        <v>45883</v>
      </c>
      <c r="B641">
        <v>8</v>
      </c>
      <c r="C641">
        <v>20</v>
      </c>
      <c r="D641" t="s">
        <v>28</v>
      </c>
      <c r="E641" t="s">
        <v>188</v>
      </c>
      <c r="G641">
        <v>0</v>
      </c>
      <c r="H641">
        <v>0</v>
      </c>
      <c r="I641">
        <v>0</v>
      </c>
      <c r="J641" t="b">
        <v>1</v>
      </c>
      <c r="K641" t="s">
        <v>1105</v>
      </c>
      <c r="L641">
        <v>36</v>
      </c>
      <c r="N641" t="s">
        <v>1107</v>
      </c>
      <c r="O641">
        <v>92.5</v>
      </c>
      <c r="P641">
        <v>6.96</v>
      </c>
      <c r="Q641" t="s">
        <v>1110</v>
      </c>
    </row>
    <row r="642" spans="1:17">
      <c r="A642" s="2">
        <v>45884</v>
      </c>
      <c r="B642">
        <v>1</v>
      </c>
      <c r="C642">
        <v>1</v>
      </c>
      <c r="D642" t="s">
        <v>17</v>
      </c>
      <c r="E642" t="s">
        <v>29</v>
      </c>
      <c r="F642" t="s">
        <v>29</v>
      </c>
      <c r="G642">
        <v>0</v>
      </c>
      <c r="H642">
        <v>0</v>
      </c>
      <c r="I642">
        <v>0</v>
      </c>
      <c r="J642" t="b">
        <v>0</v>
      </c>
      <c r="L642">
        <v>33</v>
      </c>
      <c r="N642" t="s">
        <v>1107</v>
      </c>
      <c r="O642">
        <v>70.8</v>
      </c>
      <c r="P642">
        <v>7.42</v>
      </c>
      <c r="Q642" t="s">
        <v>1110</v>
      </c>
    </row>
    <row r="643" spans="1:17">
      <c r="A643" s="2">
        <v>45884</v>
      </c>
      <c r="B643">
        <v>1</v>
      </c>
      <c r="C643">
        <v>2</v>
      </c>
      <c r="D643" t="s">
        <v>1269</v>
      </c>
      <c r="E643" t="s">
        <v>30</v>
      </c>
      <c r="F643" t="s">
        <v>30</v>
      </c>
      <c r="G643">
        <v>5</v>
      </c>
      <c r="H643">
        <v>0</v>
      </c>
      <c r="I643">
        <v>5</v>
      </c>
      <c r="J643" t="b">
        <v>0</v>
      </c>
      <c r="L643">
        <v>33</v>
      </c>
      <c r="N643" t="s">
        <v>1107</v>
      </c>
      <c r="O643">
        <v>63.3</v>
      </c>
      <c r="P643">
        <v>7</v>
      </c>
      <c r="Q643" t="s">
        <v>1111</v>
      </c>
    </row>
    <row r="644" spans="1:17">
      <c r="A644" s="2">
        <v>45884</v>
      </c>
      <c r="B644">
        <v>1</v>
      </c>
      <c r="C644">
        <v>3</v>
      </c>
      <c r="D644" t="s">
        <v>18</v>
      </c>
      <c r="E644" t="s">
        <v>31</v>
      </c>
      <c r="F644" t="s">
        <v>739</v>
      </c>
      <c r="G644">
        <v>0</v>
      </c>
      <c r="H644">
        <v>1</v>
      </c>
      <c r="I644">
        <v>4</v>
      </c>
      <c r="J644" t="b">
        <v>0</v>
      </c>
      <c r="L644">
        <v>33</v>
      </c>
      <c r="M644">
        <v>10</v>
      </c>
      <c r="N644" t="s">
        <v>1107</v>
      </c>
      <c r="O644">
        <v>72.2</v>
      </c>
      <c r="P644">
        <v>7.66</v>
      </c>
      <c r="Q644" t="s">
        <v>1110</v>
      </c>
    </row>
    <row r="645" spans="1:17">
      <c r="A645" s="2">
        <v>45884</v>
      </c>
      <c r="B645">
        <v>1</v>
      </c>
      <c r="C645">
        <v>4</v>
      </c>
      <c r="D645" t="s">
        <v>19</v>
      </c>
      <c r="E645" t="s">
        <v>32</v>
      </c>
      <c r="F645" t="s">
        <v>740</v>
      </c>
      <c r="G645">
        <v>0</v>
      </c>
      <c r="H645">
        <v>3</v>
      </c>
      <c r="I645">
        <v>1</v>
      </c>
      <c r="J645" t="b">
        <v>0</v>
      </c>
      <c r="L645">
        <v>33</v>
      </c>
      <c r="N645" t="s">
        <v>1107</v>
      </c>
      <c r="O645">
        <v>70.599999999999994</v>
      </c>
      <c r="P645">
        <v>7.27</v>
      </c>
      <c r="Q645" t="s">
        <v>1111</v>
      </c>
    </row>
    <row r="646" spans="1:17">
      <c r="A646" s="2">
        <v>45884</v>
      </c>
      <c r="B646">
        <v>1</v>
      </c>
      <c r="C646">
        <v>5</v>
      </c>
      <c r="D646" t="s">
        <v>1115</v>
      </c>
      <c r="E646" t="s">
        <v>33</v>
      </c>
      <c r="F646" t="s">
        <v>741</v>
      </c>
      <c r="G646">
        <v>1</v>
      </c>
      <c r="H646">
        <v>0</v>
      </c>
      <c r="I646">
        <v>2</v>
      </c>
      <c r="J646" t="b">
        <v>0</v>
      </c>
      <c r="L646">
        <v>33</v>
      </c>
      <c r="N646" t="s">
        <v>1107</v>
      </c>
      <c r="O646">
        <v>70.900000000000006</v>
      </c>
      <c r="P646">
        <v>6.28</v>
      </c>
      <c r="Q646" t="s">
        <v>1110</v>
      </c>
    </row>
    <row r="647" spans="1:17">
      <c r="A647" s="2">
        <v>45884</v>
      </c>
      <c r="B647">
        <v>1</v>
      </c>
      <c r="C647">
        <v>6</v>
      </c>
      <c r="D647" t="s">
        <v>1270</v>
      </c>
      <c r="E647" t="s">
        <v>34</v>
      </c>
      <c r="F647" t="s">
        <v>742</v>
      </c>
      <c r="G647">
        <v>2</v>
      </c>
      <c r="H647">
        <v>1</v>
      </c>
      <c r="I647">
        <v>3</v>
      </c>
      <c r="J647" t="b">
        <v>0</v>
      </c>
      <c r="L647">
        <v>33</v>
      </c>
      <c r="M647">
        <v>10</v>
      </c>
      <c r="N647" t="s">
        <v>1107</v>
      </c>
      <c r="O647">
        <v>71.599999999999994</v>
      </c>
      <c r="P647">
        <v>5.67</v>
      </c>
      <c r="Q647" t="s">
        <v>1110</v>
      </c>
    </row>
    <row r="648" spans="1:17">
      <c r="A648" s="2">
        <v>45884</v>
      </c>
      <c r="B648">
        <v>1</v>
      </c>
      <c r="C648">
        <v>7</v>
      </c>
      <c r="D648" t="s">
        <v>1114</v>
      </c>
      <c r="E648" t="s">
        <v>35</v>
      </c>
      <c r="F648" t="s">
        <v>743</v>
      </c>
      <c r="G648">
        <v>2</v>
      </c>
      <c r="H648">
        <v>3</v>
      </c>
      <c r="I648">
        <v>2</v>
      </c>
      <c r="J648" t="b">
        <v>0</v>
      </c>
      <c r="L648">
        <v>33</v>
      </c>
      <c r="M648">
        <v>9.9</v>
      </c>
      <c r="N648" t="s">
        <v>1107</v>
      </c>
      <c r="O648">
        <v>72.400000000000006</v>
      </c>
      <c r="P648">
        <v>6.89</v>
      </c>
      <c r="Q648" t="s">
        <v>1110</v>
      </c>
    </row>
    <row r="649" spans="1:17">
      <c r="A649" s="2">
        <v>45884</v>
      </c>
      <c r="B649">
        <v>1</v>
      </c>
      <c r="C649">
        <v>8</v>
      </c>
      <c r="D649" t="s">
        <v>1271</v>
      </c>
      <c r="E649" t="s">
        <v>36</v>
      </c>
      <c r="F649" t="s">
        <v>744</v>
      </c>
      <c r="G649">
        <v>1</v>
      </c>
      <c r="H649">
        <v>2</v>
      </c>
      <c r="I649">
        <v>1</v>
      </c>
      <c r="J649" t="b">
        <v>0</v>
      </c>
      <c r="L649">
        <v>33</v>
      </c>
      <c r="M649">
        <v>10</v>
      </c>
      <c r="N649" t="s">
        <v>1107</v>
      </c>
      <c r="O649">
        <v>70.900000000000006</v>
      </c>
      <c r="P649">
        <v>7.72</v>
      </c>
      <c r="Q649" t="s">
        <v>1110</v>
      </c>
    </row>
    <row r="650" spans="1:17">
      <c r="A650" s="2">
        <v>45884</v>
      </c>
      <c r="B650">
        <v>1</v>
      </c>
      <c r="C650">
        <v>9</v>
      </c>
      <c r="D650" t="s">
        <v>20</v>
      </c>
      <c r="E650" t="s">
        <v>37</v>
      </c>
      <c r="F650" t="s">
        <v>745</v>
      </c>
      <c r="G650">
        <v>5</v>
      </c>
      <c r="H650">
        <v>0</v>
      </c>
      <c r="I650">
        <v>6</v>
      </c>
      <c r="J650" t="b">
        <v>0</v>
      </c>
      <c r="L650">
        <v>33</v>
      </c>
      <c r="N650" t="s">
        <v>1107</v>
      </c>
      <c r="O650">
        <v>63.2</v>
      </c>
      <c r="P650">
        <v>7.71</v>
      </c>
      <c r="Q650" t="s">
        <v>1111</v>
      </c>
    </row>
    <row r="651" spans="1:17">
      <c r="A651" s="2">
        <v>45884</v>
      </c>
      <c r="B651">
        <v>1</v>
      </c>
      <c r="C651">
        <v>10</v>
      </c>
      <c r="D651" t="s">
        <v>1113</v>
      </c>
      <c r="E651" t="s">
        <v>38</v>
      </c>
      <c r="F651" t="s">
        <v>746</v>
      </c>
      <c r="G651">
        <v>2</v>
      </c>
      <c r="H651">
        <v>0</v>
      </c>
      <c r="I651">
        <v>8</v>
      </c>
      <c r="J651" t="b">
        <v>0</v>
      </c>
      <c r="L651">
        <v>33</v>
      </c>
      <c r="N651" t="s">
        <v>1107</v>
      </c>
      <c r="O651">
        <v>67.400000000000006</v>
      </c>
      <c r="P651">
        <v>5.14</v>
      </c>
      <c r="Q651" t="s">
        <v>1110</v>
      </c>
    </row>
    <row r="652" spans="1:17">
      <c r="A652" s="2">
        <v>45884</v>
      </c>
      <c r="B652">
        <v>1</v>
      </c>
      <c r="C652">
        <v>11</v>
      </c>
      <c r="D652" t="s">
        <v>1272</v>
      </c>
      <c r="E652" t="s">
        <v>39</v>
      </c>
      <c r="F652" t="s">
        <v>747</v>
      </c>
      <c r="G652">
        <v>5</v>
      </c>
      <c r="H652">
        <v>3</v>
      </c>
      <c r="I652">
        <v>10</v>
      </c>
      <c r="J652" t="b">
        <v>0</v>
      </c>
      <c r="L652">
        <v>33</v>
      </c>
      <c r="M652">
        <v>10</v>
      </c>
      <c r="N652" t="s">
        <v>1107</v>
      </c>
      <c r="O652">
        <v>62.7</v>
      </c>
      <c r="P652">
        <v>6.27</v>
      </c>
      <c r="Q652" t="s">
        <v>1110</v>
      </c>
    </row>
    <row r="653" spans="1:17">
      <c r="A653" s="2">
        <v>45884</v>
      </c>
      <c r="B653">
        <v>1</v>
      </c>
      <c r="C653">
        <v>12</v>
      </c>
      <c r="D653" t="s">
        <v>21</v>
      </c>
      <c r="E653" t="s">
        <v>40</v>
      </c>
      <c r="F653" t="s">
        <v>748</v>
      </c>
      <c r="G653">
        <v>2</v>
      </c>
      <c r="H653">
        <v>3</v>
      </c>
      <c r="I653">
        <v>9</v>
      </c>
      <c r="J653" t="b">
        <v>0</v>
      </c>
      <c r="L653">
        <v>33</v>
      </c>
      <c r="M653">
        <v>9.6</v>
      </c>
      <c r="N653" t="s">
        <v>1107</v>
      </c>
      <c r="O653">
        <v>74.2</v>
      </c>
      <c r="P653">
        <v>5.76</v>
      </c>
      <c r="Q653" t="s">
        <v>1110</v>
      </c>
    </row>
    <row r="654" spans="1:17">
      <c r="A654" s="2">
        <v>45884</v>
      </c>
      <c r="B654">
        <v>1</v>
      </c>
      <c r="C654">
        <v>13</v>
      </c>
      <c r="D654" t="s">
        <v>22</v>
      </c>
      <c r="E654" t="s">
        <v>41</v>
      </c>
      <c r="F654" t="s">
        <v>749</v>
      </c>
      <c r="G654">
        <v>5</v>
      </c>
      <c r="H654">
        <v>3</v>
      </c>
      <c r="I654">
        <v>11</v>
      </c>
      <c r="J654" t="b">
        <v>0</v>
      </c>
      <c r="L654">
        <v>33</v>
      </c>
      <c r="M654">
        <v>9.1</v>
      </c>
      <c r="N654" t="s">
        <v>1107</v>
      </c>
      <c r="O654">
        <v>72.599999999999994</v>
      </c>
      <c r="P654">
        <v>5.34</v>
      </c>
      <c r="Q654" t="s">
        <v>1110</v>
      </c>
    </row>
    <row r="655" spans="1:17">
      <c r="A655" s="2">
        <v>45884</v>
      </c>
      <c r="B655">
        <v>1</v>
      </c>
      <c r="C655">
        <v>14</v>
      </c>
      <c r="D655" t="s">
        <v>23</v>
      </c>
      <c r="E655" t="s">
        <v>42</v>
      </c>
      <c r="F655" t="s">
        <v>42</v>
      </c>
      <c r="G655">
        <v>2</v>
      </c>
      <c r="H655">
        <v>4</v>
      </c>
      <c r="I655">
        <v>9</v>
      </c>
      <c r="J655" t="b">
        <v>0</v>
      </c>
      <c r="L655">
        <v>33</v>
      </c>
      <c r="M655">
        <v>10</v>
      </c>
      <c r="N655" t="s">
        <v>1107</v>
      </c>
      <c r="O655">
        <v>64.599999999999994</v>
      </c>
      <c r="P655">
        <v>6.18</v>
      </c>
      <c r="Q655" t="s">
        <v>1110</v>
      </c>
    </row>
    <row r="656" spans="1:17">
      <c r="A656" s="2">
        <v>45884</v>
      </c>
      <c r="B656">
        <v>1</v>
      </c>
      <c r="C656">
        <v>15</v>
      </c>
      <c r="D656" t="s">
        <v>24</v>
      </c>
      <c r="E656" t="s">
        <v>43</v>
      </c>
      <c r="F656" t="s">
        <v>750</v>
      </c>
      <c r="G656">
        <v>3</v>
      </c>
      <c r="H656">
        <v>5</v>
      </c>
      <c r="I656">
        <v>7</v>
      </c>
      <c r="J656" t="b">
        <v>0</v>
      </c>
      <c r="L656">
        <v>33</v>
      </c>
      <c r="M656">
        <v>9.8000000000000007</v>
      </c>
      <c r="N656" t="s">
        <v>1107</v>
      </c>
      <c r="O656">
        <v>67.400000000000006</v>
      </c>
      <c r="P656">
        <v>6.76</v>
      </c>
      <c r="Q656" t="s">
        <v>1110</v>
      </c>
    </row>
    <row r="657" spans="1:17">
      <c r="A657" s="2">
        <v>45884</v>
      </c>
      <c r="B657">
        <v>1</v>
      </c>
      <c r="C657">
        <v>16</v>
      </c>
      <c r="D657" t="s">
        <v>1273</v>
      </c>
      <c r="E657" t="s">
        <v>44</v>
      </c>
      <c r="F657" t="s">
        <v>751</v>
      </c>
      <c r="G657">
        <v>1</v>
      </c>
      <c r="H657">
        <v>4</v>
      </c>
      <c r="I657">
        <v>4</v>
      </c>
      <c r="J657" t="b">
        <v>0</v>
      </c>
      <c r="L657">
        <v>33</v>
      </c>
      <c r="M657">
        <v>8.8000000000000007</v>
      </c>
      <c r="N657" t="s">
        <v>1107</v>
      </c>
      <c r="O657">
        <v>75.599999999999994</v>
      </c>
      <c r="P657">
        <v>5.8</v>
      </c>
      <c r="Q657" t="s">
        <v>1112</v>
      </c>
    </row>
    <row r="658" spans="1:17">
      <c r="A658" s="2">
        <v>45884</v>
      </c>
      <c r="B658">
        <v>1</v>
      </c>
      <c r="C658">
        <v>17</v>
      </c>
      <c r="D658" t="s">
        <v>25</v>
      </c>
      <c r="E658" t="s">
        <v>45</v>
      </c>
      <c r="F658" t="s">
        <v>752</v>
      </c>
      <c r="G658">
        <v>0</v>
      </c>
      <c r="H658">
        <v>2</v>
      </c>
      <c r="I658">
        <v>2</v>
      </c>
      <c r="J658" t="b">
        <v>0</v>
      </c>
      <c r="K658" t="s">
        <v>1104</v>
      </c>
      <c r="L658">
        <v>33</v>
      </c>
      <c r="M658">
        <v>5.9</v>
      </c>
      <c r="N658" t="s">
        <v>1107</v>
      </c>
      <c r="O658">
        <v>64.7</v>
      </c>
      <c r="P658">
        <v>5.56</v>
      </c>
      <c r="Q658" t="s">
        <v>1110</v>
      </c>
    </row>
    <row r="659" spans="1:17">
      <c r="A659" s="2">
        <v>45884</v>
      </c>
      <c r="B659">
        <v>1</v>
      </c>
      <c r="C659">
        <v>18</v>
      </c>
      <c r="D659" t="s">
        <v>26</v>
      </c>
      <c r="E659" t="s">
        <v>46</v>
      </c>
      <c r="F659" t="s">
        <v>753</v>
      </c>
      <c r="G659">
        <v>2</v>
      </c>
      <c r="H659">
        <v>2</v>
      </c>
      <c r="I659">
        <v>2</v>
      </c>
      <c r="J659" t="b">
        <v>0</v>
      </c>
      <c r="K659" t="s">
        <v>1104</v>
      </c>
      <c r="L659">
        <v>33</v>
      </c>
      <c r="M659">
        <v>6</v>
      </c>
      <c r="N659" t="s">
        <v>1107</v>
      </c>
      <c r="O659">
        <v>81.8</v>
      </c>
      <c r="P659">
        <v>5.32</v>
      </c>
      <c r="Q659" t="s">
        <v>1110</v>
      </c>
    </row>
    <row r="660" spans="1:17">
      <c r="A660" s="2">
        <v>45884</v>
      </c>
      <c r="B660">
        <v>1</v>
      </c>
      <c r="C660">
        <v>19</v>
      </c>
      <c r="D660" t="s">
        <v>27</v>
      </c>
      <c r="E660" t="s">
        <v>47</v>
      </c>
      <c r="F660" t="s">
        <v>754</v>
      </c>
      <c r="G660">
        <v>5</v>
      </c>
      <c r="H660">
        <v>2</v>
      </c>
      <c r="I660">
        <v>5</v>
      </c>
      <c r="J660" t="b">
        <v>0</v>
      </c>
      <c r="K660" t="s">
        <v>1104</v>
      </c>
      <c r="L660">
        <v>33</v>
      </c>
      <c r="M660">
        <v>5.9</v>
      </c>
      <c r="N660" t="s">
        <v>1107</v>
      </c>
      <c r="O660">
        <v>62.9</v>
      </c>
      <c r="P660">
        <v>5.52</v>
      </c>
      <c r="Q660" t="s">
        <v>1110</v>
      </c>
    </row>
    <row r="661" spans="1:17">
      <c r="A661" s="2">
        <v>45884</v>
      </c>
      <c r="B661">
        <v>1</v>
      </c>
      <c r="C661">
        <v>20</v>
      </c>
      <c r="D661" t="s">
        <v>28</v>
      </c>
      <c r="E661" t="s">
        <v>48</v>
      </c>
      <c r="F661" t="s">
        <v>755</v>
      </c>
      <c r="G661">
        <v>3</v>
      </c>
      <c r="H661">
        <v>5</v>
      </c>
      <c r="I661">
        <v>3</v>
      </c>
      <c r="J661" t="b">
        <v>0</v>
      </c>
      <c r="K661" t="s">
        <v>1104</v>
      </c>
      <c r="L661">
        <v>33</v>
      </c>
      <c r="M661">
        <v>5.6</v>
      </c>
      <c r="N661" t="s">
        <v>1107</v>
      </c>
      <c r="O661">
        <v>81.7</v>
      </c>
      <c r="P661">
        <v>7.9</v>
      </c>
      <c r="Q661" t="s">
        <v>1110</v>
      </c>
    </row>
    <row r="662" spans="1:17">
      <c r="A662" s="2">
        <v>45884</v>
      </c>
      <c r="B662">
        <v>2</v>
      </c>
      <c r="C662">
        <v>1</v>
      </c>
      <c r="D662" t="s">
        <v>17</v>
      </c>
      <c r="E662" t="s">
        <v>49</v>
      </c>
      <c r="F662" t="s">
        <v>756</v>
      </c>
      <c r="G662">
        <v>0</v>
      </c>
      <c r="H662">
        <v>0</v>
      </c>
      <c r="I662">
        <v>0</v>
      </c>
      <c r="J662" t="b">
        <v>0</v>
      </c>
      <c r="L662">
        <v>34</v>
      </c>
      <c r="N662" t="s">
        <v>1107</v>
      </c>
      <c r="O662">
        <v>75.5</v>
      </c>
      <c r="P662">
        <v>7.92</v>
      </c>
      <c r="Q662" t="s">
        <v>1110</v>
      </c>
    </row>
    <row r="663" spans="1:17">
      <c r="A663" s="2">
        <v>45884</v>
      </c>
      <c r="B663">
        <v>2</v>
      </c>
      <c r="C663">
        <v>2</v>
      </c>
      <c r="D663" t="s">
        <v>1269</v>
      </c>
      <c r="E663" t="s">
        <v>50</v>
      </c>
      <c r="F663" t="s">
        <v>757</v>
      </c>
      <c r="G663">
        <v>4</v>
      </c>
      <c r="H663">
        <v>0</v>
      </c>
      <c r="I663">
        <v>4</v>
      </c>
      <c r="J663" t="b">
        <v>0</v>
      </c>
      <c r="L663">
        <v>34</v>
      </c>
      <c r="N663" t="s">
        <v>1107</v>
      </c>
      <c r="O663">
        <v>77.3</v>
      </c>
      <c r="P663">
        <v>6.18</v>
      </c>
      <c r="Q663" t="s">
        <v>1110</v>
      </c>
    </row>
    <row r="664" spans="1:17">
      <c r="A664" s="2">
        <v>45884</v>
      </c>
      <c r="B664">
        <v>2</v>
      </c>
      <c r="C664">
        <v>3</v>
      </c>
      <c r="D664" t="s">
        <v>18</v>
      </c>
      <c r="E664" t="s">
        <v>51</v>
      </c>
      <c r="F664" t="s">
        <v>758</v>
      </c>
      <c r="G664">
        <v>5</v>
      </c>
      <c r="H664">
        <v>2</v>
      </c>
      <c r="I664">
        <v>7</v>
      </c>
      <c r="J664" t="b">
        <v>0</v>
      </c>
      <c r="L664">
        <v>34</v>
      </c>
      <c r="N664" t="s">
        <v>1107</v>
      </c>
      <c r="O664">
        <v>60.3</v>
      </c>
      <c r="P664">
        <v>5.34</v>
      </c>
      <c r="Q664" t="s">
        <v>1110</v>
      </c>
    </row>
    <row r="665" spans="1:17">
      <c r="A665" s="2">
        <v>45884</v>
      </c>
      <c r="B665">
        <v>2</v>
      </c>
      <c r="C665">
        <v>4</v>
      </c>
      <c r="D665" t="s">
        <v>19</v>
      </c>
      <c r="E665" t="s">
        <v>52</v>
      </c>
      <c r="F665" t="s">
        <v>759</v>
      </c>
      <c r="G665">
        <v>0</v>
      </c>
      <c r="H665">
        <v>0</v>
      </c>
      <c r="I665">
        <v>7</v>
      </c>
      <c r="J665" t="b">
        <v>0</v>
      </c>
      <c r="L665">
        <v>34</v>
      </c>
      <c r="N665" t="s">
        <v>1109</v>
      </c>
      <c r="O665">
        <v>81.5</v>
      </c>
      <c r="P665">
        <v>5.63</v>
      </c>
      <c r="Q665" t="s">
        <v>1110</v>
      </c>
    </row>
    <row r="666" spans="1:17">
      <c r="A666" s="2">
        <v>45884</v>
      </c>
      <c r="B666">
        <v>2</v>
      </c>
      <c r="C666">
        <v>5</v>
      </c>
      <c r="D666" t="s">
        <v>1115</v>
      </c>
      <c r="E666" t="s">
        <v>53</v>
      </c>
      <c r="F666" t="s">
        <v>760</v>
      </c>
      <c r="G666">
        <v>2</v>
      </c>
      <c r="H666">
        <v>3</v>
      </c>
      <c r="I666">
        <v>6</v>
      </c>
      <c r="J666" t="b">
        <v>0</v>
      </c>
      <c r="L666">
        <v>34</v>
      </c>
      <c r="M666">
        <v>9.8000000000000007</v>
      </c>
      <c r="N666" t="s">
        <v>1107</v>
      </c>
      <c r="O666">
        <v>70.900000000000006</v>
      </c>
      <c r="P666">
        <v>6.88</v>
      </c>
      <c r="Q666" t="s">
        <v>1110</v>
      </c>
    </row>
    <row r="667" spans="1:17">
      <c r="A667" s="2">
        <v>45884</v>
      </c>
      <c r="B667">
        <v>2</v>
      </c>
      <c r="C667">
        <v>6</v>
      </c>
      <c r="D667" t="s">
        <v>1270</v>
      </c>
      <c r="E667" t="s">
        <v>54</v>
      </c>
      <c r="F667" t="s">
        <v>761</v>
      </c>
      <c r="G667">
        <v>5</v>
      </c>
      <c r="H667">
        <v>5</v>
      </c>
      <c r="I667">
        <v>6</v>
      </c>
      <c r="J667" t="b">
        <v>0</v>
      </c>
      <c r="L667">
        <v>34</v>
      </c>
      <c r="M667">
        <v>10</v>
      </c>
      <c r="N667" t="s">
        <v>1107</v>
      </c>
      <c r="O667">
        <v>67.5</v>
      </c>
      <c r="P667">
        <v>6.39</v>
      </c>
      <c r="Q667" t="s">
        <v>1110</v>
      </c>
    </row>
    <row r="668" spans="1:17">
      <c r="A668" s="2">
        <v>45884</v>
      </c>
      <c r="B668">
        <v>2</v>
      </c>
      <c r="C668">
        <v>7</v>
      </c>
      <c r="D668" t="s">
        <v>1114</v>
      </c>
      <c r="E668" t="s">
        <v>55</v>
      </c>
      <c r="F668" t="s">
        <v>762</v>
      </c>
      <c r="G668">
        <v>1</v>
      </c>
      <c r="H668">
        <v>0</v>
      </c>
      <c r="I668">
        <v>7</v>
      </c>
      <c r="J668" t="b">
        <v>0</v>
      </c>
      <c r="L668">
        <v>34</v>
      </c>
      <c r="N668" t="s">
        <v>1107</v>
      </c>
      <c r="O668">
        <v>64.2</v>
      </c>
      <c r="P668">
        <v>5.46</v>
      </c>
      <c r="Q668" t="s">
        <v>1110</v>
      </c>
    </row>
    <row r="669" spans="1:17">
      <c r="A669" s="2">
        <v>45884</v>
      </c>
      <c r="B669">
        <v>2</v>
      </c>
      <c r="C669">
        <v>8</v>
      </c>
      <c r="D669" t="s">
        <v>1271</v>
      </c>
      <c r="E669" t="s">
        <v>56</v>
      </c>
      <c r="F669" t="s">
        <v>763</v>
      </c>
      <c r="G669">
        <v>3</v>
      </c>
      <c r="H669">
        <v>5</v>
      </c>
      <c r="I669">
        <v>5</v>
      </c>
      <c r="J669" t="b">
        <v>0</v>
      </c>
      <c r="L669">
        <v>34</v>
      </c>
      <c r="M669">
        <v>8.9</v>
      </c>
      <c r="N669" t="s">
        <v>1109</v>
      </c>
      <c r="O669">
        <v>71.8</v>
      </c>
      <c r="P669">
        <v>7.58</v>
      </c>
      <c r="Q669" t="s">
        <v>1110</v>
      </c>
    </row>
    <row r="670" spans="1:17">
      <c r="A670" s="2">
        <v>45884</v>
      </c>
      <c r="B670">
        <v>2</v>
      </c>
      <c r="C670">
        <v>9</v>
      </c>
      <c r="D670" t="s">
        <v>20</v>
      </c>
      <c r="E670" t="s">
        <v>57</v>
      </c>
      <c r="F670" t="s">
        <v>764</v>
      </c>
      <c r="G670">
        <v>1</v>
      </c>
      <c r="H670">
        <v>0</v>
      </c>
      <c r="I670">
        <v>6</v>
      </c>
      <c r="J670" t="b">
        <v>0</v>
      </c>
      <c r="L670">
        <v>34</v>
      </c>
      <c r="N670" t="s">
        <v>1107</v>
      </c>
      <c r="O670">
        <v>74.2</v>
      </c>
      <c r="P670">
        <v>7.5</v>
      </c>
      <c r="Q670" t="s">
        <v>1110</v>
      </c>
    </row>
    <row r="671" spans="1:17">
      <c r="A671" s="2">
        <v>45884</v>
      </c>
      <c r="B671">
        <v>2</v>
      </c>
      <c r="C671">
        <v>10</v>
      </c>
      <c r="D671" t="s">
        <v>1113</v>
      </c>
      <c r="E671" t="s">
        <v>58</v>
      </c>
      <c r="F671" t="s">
        <v>765</v>
      </c>
      <c r="G671">
        <v>2</v>
      </c>
      <c r="H671">
        <v>2</v>
      </c>
      <c r="I671">
        <v>6</v>
      </c>
      <c r="J671" t="b">
        <v>0</v>
      </c>
      <c r="L671">
        <v>34</v>
      </c>
      <c r="M671">
        <v>8.9</v>
      </c>
      <c r="N671" t="s">
        <v>1107</v>
      </c>
      <c r="O671">
        <v>75.8</v>
      </c>
      <c r="P671">
        <v>7.14</v>
      </c>
      <c r="Q671" t="s">
        <v>1112</v>
      </c>
    </row>
    <row r="672" spans="1:17">
      <c r="A672" s="2">
        <v>45884</v>
      </c>
      <c r="B672">
        <v>2</v>
      </c>
      <c r="C672">
        <v>11</v>
      </c>
      <c r="D672" t="s">
        <v>1272</v>
      </c>
      <c r="E672" t="s">
        <v>59</v>
      </c>
      <c r="F672" t="s">
        <v>766</v>
      </c>
      <c r="G672">
        <v>0</v>
      </c>
      <c r="H672">
        <v>4</v>
      </c>
      <c r="I672">
        <v>2</v>
      </c>
      <c r="J672" t="b">
        <v>0</v>
      </c>
      <c r="L672">
        <v>34</v>
      </c>
      <c r="M672">
        <v>9.6999999999999993</v>
      </c>
      <c r="N672" t="s">
        <v>1107</v>
      </c>
      <c r="O672">
        <v>78.400000000000006</v>
      </c>
      <c r="P672">
        <v>6.79</v>
      </c>
      <c r="Q672" t="s">
        <v>1110</v>
      </c>
    </row>
    <row r="673" spans="1:17">
      <c r="A673" s="2">
        <v>45884</v>
      </c>
      <c r="B673">
        <v>2</v>
      </c>
      <c r="C673">
        <v>12</v>
      </c>
      <c r="D673" t="s">
        <v>21</v>
      </c>
      <c r="E673" t="s">
        <v>60</v>
      </c>
      <c r="F673" t="s">
        <v>767</v>
      </c>
      <c r="G673">
        <v>3</v>
      </c>
      <c r="H673">
        <v>2</v>
      </c>
      <c r="I673">
        <v>3</v>
      </c>
      <c r="J673" t="b">
        <v>0</v>
      </c>
      <c r="L673">
        <v>34</v>
      </c>
      <c r="M673">
        <v>9.9</v>
      </c>
      <c r="N673" t="s">
        <v>1107</v>
      </c>
      <c r="O673">
        <v>72.2</v>
      </c>
      <c r="P673">
        <v>6.46</v>
      </c>
      <c r="Q673" t="s">
        <v>1110</v>
      </c>
    </row>
    <row r="674" spans="1:17">
      <c r="A674" s="2">
        <v>45884</v>
      </c>
      <c r="B674">
        <v>2</v>
      </c>
      <c r="C674">
        <v>13</v>
      </c>
      <c r="D674" t="s">
        <v>22</v>
      </c>
      <c r="E674" t="s">
        <v>61</v>
      </c>
      <c r="F674" t="s">
        <v>768</v>
      </c>
      <c r="G674">
        <v>3</v>
      </c>
      <c r="H674">
        <v>2</v>
      </c>
      <c r="I674">
        <v>4</v>
      </c>
      <c r="J674" t="b">
        <v>0</v>
      </c>
      <c r="L674">
        <v>34</v>
      </c>
      <c r="M674">
        <v>7.5</v>
      </c>
      <c r="N674" t="s">
        <v>1107</v>
      </c>
      <c r="O674">
        <v>77</v>
      </c>
      <c r="P674">
        <v>7.45</v>
      </c>
      <c r="Q674" t="s">
        <v>1110</v>
      </c>
    </row>
    <row r="675" spans="1:17">
      <c r="A675" s="2">
        <v>45884</v>
      </c>
      <c r="B675">
        <v>2</v>
      </c>
      <c r="C675">
        <v>14</v>
      </c>
      <c r="D675" t="s">
        <v>23</v>
      </c>
      <c r="E675" t="s">
        <v>62</v>
      </c>
      <c r="F675" t="s">
        <v>769</v>
      </c>
      <c r="G675">
        <v>1</v>
      </c>
      <c r="H675">
        <v>4</v>
      </c>
      <c r="I675">
        <v>1</v>
      </c>
      <c r="J675" t="b">
        <v>0</v>
      </c>
      <c r="L675">
        <v>34</v>
      </c>
      <c r="M675">
        <v>8.6</v>
      </c>
      <c r="N675" t="s">
        <v>1107</v>
      </c>
      <c r="O675">
        <v>73.2</v>
      </c>
      <c r="P675">
        <v>6.27</v>
      </c>
      <c r="Q675" t="s">
        <v>1110</v>
      </c>
    </row>
    <row r="676" spans="1:17">
      <c r="A676" s="2">
        <v>45884</v>
      </c>
      <c r="B676">
        <v>2</v>
      </c>
      <c r="C676">
        <v>15</v>
      </c>
      <c r="D676" t="s">
        <v>24</v>
      </c>
      <c r="E676" t="s">
        <v>63</v>
      </c>
      <c r="F676" t="s">
        <v>770</v>
      </c>
      <c r="G676">
        <v>2</v>
      </c>
      <c r="H676">
        <v>1</v>
      </c>
      <c r="I676">
        <v>2</v>
      </c>
      <c r="J676" t="b">
        <v>0</v>
      </c>
      <c r="L676">
        <v>34</v>
      </c>
      <c r="M676">
        <v>10</v>
      </c>
      <c r="N676" t="s">
        <v>1107</v>
      </c>
      <c r="O676">
        <v>82.3</v>
      </c>
      <c r="P676">
        <v>6.25</v>
      </c>
      <c r="Q676" t="s">
        <v>1110</v>
      </c>
    </row>
    <row r="677" spans="1:17">
      <c r="A677" s="2">
        <v>45884</v>
      </c>
      <c r="B677">
        <v>2</v>
      </c>
      <c r="C677">
        <v>16</v>
      </c>
      <c r="D677" t="s">
        <v>1273</v>
      </c>
      <c r="E677" t="s">
        <v>64</v>
      </c>
      <c r="F677" t="s">
        <v>64</v>
      </c>
      <c r="G677">
        <v>0</v>
      </c>
      <c r="H677">
        <v>0</v>
      </c>
      <c r="I677">
        <v>2</v>
      </c>
      <c r="J677" t="b">
        <v>0</v>
      </c>
      <c r="L677">
        <v>34</v>
      </c>
      <c r="N677" t="s">
        <v>1107</v>
      </c>
      <c r="O677">
        <v>83.5</v>
      </c>
      <c r="P677">
        <v>6.04</v>
      </c>
      <c r="Q677" t="s">
        <v>1110</v>
      </c>
    </row>
    <row r="678" spans="1:17">
      <c r="A678" s="2">
        <v>45884</v>
      </c>
      <c r="B678">
        <v>2</v>
      </c>
      <c r="C678">
        <v>17</v>
      </c>
      <c r="D678" t="s">
        <v>25</v>
      </c>
      <c r="E678" t="s">
        <v>65</v>
      </c>
      <c r="F678" t="s">
        <v>771</v>
      </c>
      <c r="G678">
        <v>3</v>
      </c>
      <c r="H678">
        <v>0</v>
      </c>
      <c r="I678">
        <v>5</v>
      </c>
      <c r="J678" t="b">
        <v>0</v>
      </c>
      <c r="K678" t="s">
        <v>1104</v>
      </c>
      <c r="L678">
        <v>34</v>
      </c>
      <c r="N678" t="s">
        <v>1107</v>
      </c>
      <c r="O678">
        <v>67.2</v>
      </c>
      <c r="P678">
        <v>5.58</v>
      </c>
      <c r="Q678" t="s">
        <v>1110</v>
      </c>
    </row>
    <row r="679" spans="1:17">
      <c r="A679" s="2">
        <v>45884</v>
      </c>
      <c r="B679">
        <v>2</v>
      </c>
      <c r="C679">
        <v>18</v>
      </c>
      <c r="D679" t="s">
        <v>26</v>
      </c>
      <c r="E679" t="s">
        <v>66</v>
      </c>
      <c r="F679" t="s">
        <v>772</v>
      </c>
      <c r="G679">
        <v>0</v>
      </c>
      <c r="H679">
        <v>4</v>
      </c>
      <c r="I679">
        <v>1</v>
      </c>
      <c r="J679" t="b">
        <v>0</v>
      </c>
      <c r="K679" t="s">
        <v>1104</v>
      </c>
      <c r="L679">
        <v>34</v>
      </c>
      <c r="M679">
        <v>5.2</v>
      </c>
      <c r="N679" t="s">
        <v>1107</v>
      </c>
      <c r="O679">
        <v>65.5</v>
      </c>
      <c r="P679">
        <v>7.73</v>
      </c>
      <c r="Q679" t="s">
        <v>1110</v>
      </c>
    </row>
    <row r="680" spans="1:17">
      <c r="A680" s="2">
        <v>45884</v>
      </c>
      <c r="B680">
        <v>2</v>
      </c>
      <c r="C680">
        <v>19</v>
      </c>
      <c r="D680" t="s">
        <v>27</v>
      </c>
      <c r="E680" t="s">
        <v>67</v>
      </c>
      <c r="F680" t="s">
        <v>369</v>
      </c>
      <c r="G680">
        <v>5</v>
      </c>
      <c r="H680">
        <v>1</v>
      </c>
      <c r="I680">
        <v>5</v>
      </c>
      <c r="J680" t="b">
        <v>0</v>
      </c>
      <c r="K680" t="s">
        <v>1104</v>
      </c>
      <c r="L680">
        <v>34</v>
      </c>
      <c r="M680">
        <v>5.0999999999999996</v>
      </c>
      <c r="N680" t="s">
        <v>1107</v>
      </c>
      <c r="O680">
        <v>81.099999999999994</v>
      </c>
      <c r="P680">
        <v>6.97</v>
      </c>
      <c r="Q680" t="s">
        <v>1110</v>
      </c>
    </row>
    <row r="681" spans="1:17">
      <c r="A681" s="2">
        <v>45884</v>
      </c>
      <c r="B681">
        <v>2</v>
      </c>
      <c r="C681">
        <v>20</v>
      </c>
      <c r="D681" t="s">
        <v>28</v>
      </c>
      <c r="E681" t="s">
        <v>68</v>
      </c>
      <c r="F681" t="s">
        <v>773</v>
      </c>
      <c r="G681">
        <v>2</v>
      </c>
      <c r="H681">
        <v>4</v>
      </c>
      <c r="I681">
        <v>3</v>
      </c>
      <c r="J681" t="b">
        <v>0</v>
      </c>
      <c r="K681" t="s">
        <v>1104</v>
      </c>
      <c r="L681">
        <v>34</v>
      </c>
      <c r="M681">
        <v>5.2</v>
      </c>
      <c r="N681" t="s">
        <v>1107</v>
      </c>
      <c r="O681">
        <v>77.8</v>
      </c>
      <c r="P681">
        <v>7.88</v>
      </c>
      <c r="Q681" t="s">
        <v>1111</v>
      </c>
    </row>
    <row r="682" spans="1:17">
      <c r="A682" s="2">
        <v>45884</v>
      </c>
      <c r="B682">
        <v>3</v>
      </c>
      <c r="C682">
        <v>1</v>
      </c>
      <c r="D682" t="s">
        <v>17</v>
      </c>
      <c r="E682" t="s">
        <v>69</v>
      </c>
      <c r="F682" t="s">
        <v>774</v>
      </c>
      <c r="G682">
        <v>0</v>
      </c>
      <c r="H682">
        <v>0</v>
      </c>
      <c r="I682">
        <v>0</v>
      </c>
      <c r="J682" t="b">
        <v>0</v>
      </c>
      <c r="L682">
        <v>33</v>
      </c>
      <c r="N682" t="s">
        <v>1107</v>
      </c>
      <c r="O682">
        <v>78.400000000000006</v>
      </c>
      <c r="P682">
        <v>7.39</v>
      </c>
      <c r="Q682" t="s">
        <v>1110</v>
      </c>
    </row>
    <row r="683" spans="1:17">
      <c r="A683" s="2">
        <v>45884</v>
      </c>
      <c r="B683">
        <v>3</v>
      </c>
      <c r="C683">
        <v>2</v>
      </c>
      <c r="D683" t="s">
        <v>1269</v>
      </c>
      <c r="E683" t="s">
        <v>70</v>
      </c>
      <c r="F683" t="s">
        <v>775</v>
      </c>
      <c r="G683">
        <v>0</v>
      </c>
      <c r="H683">
        <v>0</v>
      </c>
      <c r="I683">
        <v>0</v>
      </c>
      <c r="J683" t="b">
        <v>0</v>
      </c>
      <c r="L683">
        <v>33</v>
      </c>
      <c r="N683" t="s">
        <v>1107</v>
      </c>
      <c r="O683">
        <v>75.5</v>
      </c>
      <c r="P683">
        <v>5.85</v>
      </c>
      <c r="Q683" t="s">
        <v>1110</v>
      </c>
    </row>
    <row r="684" spans="1:17">
      <c r="A684" s="2">
        <v>45884</v>
      </c>
      <c r="B684">
        <v>3</v>
      </c>
      <c r="C684">
        <v>3</v>
      </c>
      <c r="D684" t="s">
        <v>18</v>
      </c>
      <c r="E684" t="s">
        <v>71</v>
      </c>
      <c r="F684" t="s">
        <v>776</v>
      </c>
      <c r="G684">
        <v>3</v>
      </c>
      <c r="H684">
        <v>0</v>
      </c>
      <c r="I684">
        <v>3</v>
      </c>
      <c r="J684" t="b">
        <v>0</v>
      </c>
      <c r="L684">
        <v>33</v>
      </c>
      <c r="N684" t="s">
        <v>1107</v>
      </c>
      <c r="O684">
        <v>63.2</v>
      </c>
      <c r="P684">
        <v>5.6</v>
      </c>
      <c r="Q684" t="s">
        <v>1110</v>
      </c>
    </row>
    <row r="685" spans="1:17">
      <c r="A685" s="2">
        <v>45884</v>
      </c>
      <c r="B685">
        <v>3</v>
      </c>
      <c r="C685">
        <v>4</v>
      </c>
      <c r="D685" t="s">
        <v>19</v>
      </c>
      <c r="E685" t="s">
        <v>72</v>
      </c>
      <c r="F685" t="s">
        <v>777</v>
      </c>
      <c r="G685">
        <v>0</v>
      </c>
      <c r="H685">
        <v>3</v>
      </c>
      <c r="I685">
        <v>0</v>
      </c>
      <c r="J685" t="b">
        <v>0</v>
      </c>
      <c r="L685">
        <v>33</v>
      </c>
      <c r="M685">
        <v>10</v>
      </c>
      <c r="N685" t="s">
        <v>1107</v>
      </c>
      <c r="O685">
        <v>70.400000000000006</v>
      </c>
      <c r="P685">
        <v>7.98</v>
      </c>
      <c r="Q685" t="s">
        <v>1110</v>
      </c>
    </row>
    <row r="686" spans="1:17">
      <c r="A686" s="2">
        <v>45884</v>
      </c>
      <c r="B686">
        <v>3</v>
      </c>
      <c r="C686">
        <v>5</v>
      </c>
      <c r="D686" t="s">
        <v>1115</v>
      </c>
      <c r="E686" t="s">
        <v>73</v>
      </c>
      <c r="F686" t="s">
        <v>778</v>
      </c>
      <c r="G686">
        <v>5</v>
      </c>
      <c r="H686">
        <v>0</v>
      </c>
      <c r="I686">
        <v>5</v>
      </c>
      <c r="J686" t="b">
        <v>0</v>
      </c>
      <c r="L686">
        <v>33</v>
      </c>
      <c r="N686" t="s">
        <v>1107</v>
      </c>
      <c r="O686">
        <v>61.2</v>
      </c>
      <c r="P686">
        <v>5.05</v>
      </c>
      <c r="Q686" t="s">
        <v>1111</v>
      </c>
    </row>
    <row r="687" spans="1:17">
      <c r="A687" s="2">
        <v>45884</v>
      </c>
      <c r="B687">
        <v>3</v>
      </c>
      <c r="C687">
        <v>6</v>
      </c>
      <c r="D687" t="s">
        <v>1270</v>
      </c>
      <c r="E687" t="s">
        <v>74</v>
      </c>
      <c r="F687" t="s">
        <v>779</v>
      </c>
      <c r="G687">
        <v>4</v>
      </c>
      <c r="H687">
        <v>0</v>
      </c>
      <c r="I687">
        <v>9</v>
      </c>
      <c r="J687" t="b">
        <v>0</v>
      </c>
      <c r="L687">
        <v>33</v>
      </c>
      <c r="N687" t="s">
        <v>1107</v>
      </c>
      <c r="O687">
        <v>64</v>
      </c>
      <c r="P687">
        <v>7.48</v>
      </c>
      <c r="Q687" t="s">
        <v>1111</v>
      </c>
    </row>
    <row r="688" spans="1:17">
      <c r="A688" s="2">
        <v>45884</v>
      </c>
      <c r="B688">
        <v>3</v>
      </c>
      <c r="C688">
        <v>7</v>
      </c>
      <c r="D688" t="s">
        <v>1114</v>
      </c>
      <c r="E688" t="s">
        <v>75</v>
      </c>
      <c r="F688" t="s">
        <v>780</v>
      </c>
      <c r="G688">
        <v>1</v>
      </c>
      <c r="H688">
        <v>2</v>
      </c>
      <c r="I688">
        <v>8</v>
      </c>
      <c r="J688" t="b">
        <v>0</v>
      </c>
      <c r="L688">
        <v>33</v>
      </c>
      <c r="M688">
        <v>10</v>
      </c>
      <c r="N688" t="s">
        <v>1107</v>
      </c>
      <c r="O688">
        <v>61.6</v>
      </c>
      <c r="P688">
        <v>6.29</v>
      </c>
      <c r="Q688" t="s">
        <v>1110</v>
      </c>
    </row>
    <row r="689" spans="1:17">
      <c r="A689" s="2">
        <v>45884</v>
      </c>
      <c r="B689">
        <v>3</v>
      </c>
      <c r="C689">
        <v>8</v>
      </c>
      <c r="D689" t="s">
        <v>1271</v>
      </c>
      <c r="E689" t="s">
        <v>76</v>
      </c>
      <c r="F689" t="s">
        <v>781</v>
      </c>
      <c r="G689">
        <v>5</v>
      </c>
      <c r="H689">
        <v>5</v>
      </c>
      <c r="I689">
        <v>8</v>
      </c>
      <c r="J689" t="b">
        <v>0</v>
      </c>
      <c r="L689">
        <v>33</v>
      </c>
      <c r="M689">
        <v>9.6</v>
      </c>
      <c r="N689" t="s">
        <v>1107</v>
      </c>
      <c r="O689">
        <v>65.599999999999994</v>
      </c>
      <c r="P689">
        <v>5.77</v>
      </c>
      <c r="Q689" t="s">
        <v>1110</v>
      </c>
    </row>
    <row r="690" spans="1:17">
      <c r="A690" s="2">
        <v>45884</v>
      </c>
      <c r="B690">
        <v>3</v>
      </c>
      <c r="C690">
        <v>9</v>
      </c>
      <c r="D690" t="s">
        <v>20</v>
      </c>
      <c r="E690" t="s">
        <v>77</v>
      </c>
      <c r="F690" t="s">
        <v>782</v>
      </c>
      <c r="G690">
        <v>4</v>
      </c>
      <c r="H690">
        <v>2</v>
      </c>
      <c r="I690">
        <v>10</v>
      </c>
      <c r="J690" t="b">
        <v>0</v>
      </c>
      <c r="L690">
        <v>33</v>
      </c>
      <c r="M690">
        <v>9.6999999999999993</v>
      </c>
      <c r="N690" t="s">
        <v>1107</v>
      </c>
      <c r="O690">
        <v>61.2</v>
      </c>
      <c r="P690">
        <v>7.63</v>
      </c>
      <c r="Q690" t="s">
        <v>1110</v>
      </c>
    </row>
    <row r="691" spans="1:17">
      <c r="A691" s="2">
        <v>45884</v>
      </c>
      <c r="B691">
        <v>3</v>
      </c>
      <c r="C691">
        <v>10</v>
      </c>
      <c r="D691" t="s">
        <v>1113</v>
      </c>
      <c r="E691" t="s">
        <v>78</v>
      </c>
      <c r="F691" t="s">
        <v>783</v>
      </c>
      <c r="G691">
        <v>1</v>
      </c>
      <c r="H691">
        <v>1</v>
      </c>
      <c r="I691">
        <v>10</v>
      </c>
      <c r="J691" t="b">
        <v>0</v>
      </c>
      <c r="L691">
        <v>33</v>
      </c>
      <c r="M691">
        <v>9.9</v>
      </c>
      <c r="N691" t="s">
        <v>1107</v>
      </c>
      <c r="O691">
        <v>77.3</v>
      </c>
      <c r="P691">
        <v>6.55</v>
      </c>
      <c r="Q691" t="s">
        <v>1110</v>
      </c>
    </row>
    <row r="692" spans="1:17">
      <c r="A692" s="2">
        <v>45884</v>
      </c>
      <c r="B692">
        <v>3</v>
      </c>
      <c r="C692">
        <v>11</v>
      </c>
      <c r="D692" t="s">
        <v>1272</v>
      </c>
      <c r="E692" t="s">
        <v>79</v>
      </c>
      <c r="F692" t="s">
        <v>784</v>
      </c>
      <c r="G692">
        <v>0</v>
      </c>
      <c r="H692">
        <v>3</v>
      </c>
      <c r="I692">
        <v>7</v>
      </c>
      <c r="J692" t="b">
        <v>0</v>
      </c>
      <c r="L692">
        <v>33</v>
      </c>
      <c r="M692">
        <v>9.5</v>
      </c>
      <c r="N692" t="s">
        <v>1107</v>
      </c>
      <c r="O692">
        <v>83.2</v>
      </c>
      <c r="P692">
        <v>6.31</v>
      </c>
      <c r="Q692" t="s">
        <v>1110</v>
      </c>
    </row>
    <row r="693" spans="1:17">
      <c r="A693" s="2">
        <v>45884</v>
      </c>
      <c r="B693">
        <v>3</v>
      </c>
      <c r="C693">
        <v>12</v>
      </c>
      <c r="D693" t="s">
        <v>21</v>
      </c>
      <c r="E693" t="s">
        <v>80</v>
      </c>
      <c r="F693" t="s">
        <v>785</v>
      </c>
      <c r="G693">
        <v>2</v>
      </c>
      <c r="H693">
        <v>4</v>
      </c>
      <c r="I693">
        <v>5</v>
      </c>
      <c r="J693" t="b">
        <v>0</v>
      </c>
      <c r="L693">
        <v>33</v>
      </c>
      <c r="M693">
        <v>10</v>
      </c>
      <c r="N693" t="s">
        <v>1107</v>
      </c>
      <c r="O693">
        <v>62.8</v>
      </c>
      <c r="P693">
        <v>5.32</v>
      </c>
      <c r="Q693" t="s">
        <v>1110</v>
      </c>
    </row>
    <row r="694" spans="1:17">
      <c r="A694" s="2">
        <v>45884</v>
      </c>
      <c r="B694">
        <v>3</v>
      </c>
      <c r="C694">
        <v>13</v>
      </c>
      <c r="D694" t="s">
        <v>22</v>
      </c>
      <c r="E694" t="s">
        <v>81</v>
      </c>
      <c r="F694" t="s">
        <v>786</v>
      </c>
      <c r="G694">
        <v>1</v>
      </c>
      <c r="H694">
        <v>4</v>
      </c>
      <c r="I694">
        <v>2</v>
      </c>
      <c r="J694" t="b">
        <v>0</v>
      </c>
      <c r="L694">
        <v>33</v>
      </c>
      <c r="N694" t="s">
        <v>1107</v>
      </c>
      <c r="O694">
        <v>83.7</v>
      </c>
      <c r="P694">
        <v>7.47</v>
      </c>
      <c r="Q694" t="s">
        <v>1110</v>
      </c>
    </row>
    <row r="695" spans="1:17">
      <c r="A695" s="2">
        <v>45884</v>
      </c>
      <c r="B695">
        <v>3</v>
      </c>
      <c r="C695">
        <v>14</v>
      </c>
      <c r="D695" t="s">
        <v>23</v>
      </c>
      <c r="E695" t="s">
        <v>82</v>
      </c>
      <c r="F695" t="s">
        <v>787</v>
      </c>
      <c r="G695">
        <v>1</v>
      </c>
      <c r="H695">
        <v>0</v>
      </c>
      <c r="I695">
        <v>3</v>
      </c>
      <c r="J695" t="b">
        <v>0</v>
      </c>
      <c r="L695">
        <v>33</v>
      </c>
      <c r="N695" t="s">
        <v>1107</v>
      </c>
      <c r="O695">
        <v>75.7</v>
      </c>
      <c r="P695">
        <v>7.61</v>
      </c>
      <c r="Q695" t="s">
        <v>1111</v>
      </c>
    </row>
    <row r="696" spans="1:17">
      <c r="A696" s="2">
        <v>45884</v>
      </c>
      <c r="B696">
        <v>3</v>
      </c>
      <c r="C696">
        <v>15</v>
      </c>
      <c r="D696" t="s">
        <v>24</v>
      </c>
      <c r="E696" t="s">
        <v>83</v>
      </c>
      <c r="F696" t="s">
        <v>788</v>
      </c>
      <c r="G696">
        <v>8</v>
      </c>
      <c r="H696">
        <v>3</v>
      </c>
      <c r="I696">
        <v>8</v>
      </c>
      <c r="J696" t="b">
        <v>0</v>
      </c>
      <c r="L696">
        <v>33</v>
      </c>
      <c r="M696">
        <v>10</v>
      </c>
      <c r="N696" t="s">
        <v>1107</v>
      </c>
      <c r="O696">
        <v>67.3</v>
      </c>
      <c r="P696">
        <v>6.32</v>
      </c>
      <c r="Q696" t="s">
        <v>1110</v>
      </c>
    </row>
    <row r="697" spans="1:17">
      <c r="A697" s="2">
        <v>45884</v>
      </c>
      <c r="B697">
        <v>3</v>
      </c>
      <c r="C697">
        <v>16</v>
      </c>
      <c r="D697" t="s">
        <v>1273</v>
      </c>
      <c r="E697" t="s">
        <v>84</v>
      </c>
      <c r="F697" t="s">
        <v>789</v>
      </c>
      <c r="G697">
        <v>9</v>
      </c>
      <c r="H697">
        <v>3</v>
      </c>
      <c r="I697">
        <v>14</v>
      </c>
      <c r="J697" t="b">
        <v>0</v>
      </c>
      <c r="L697">
        <v>33</v>
      </c>
      <c r="M697">
        <v>9.9</v>
      </c>
      <c r="N697" t="s">
        <v>1107</v>
      </c>
      <c r="O697">
        <v>62.5</v>
      </c>
      <c r="P697">
        <v>6.94</v>
      </c>
      <c r="Q697" t="s">
        <v>1110</v>
      </c>
    </row>
    <row r="698" spans="1:17">
      <c r="A698" s="2">
        <v>45884</v>
      </c>
      <c r="B698">
        <v>3</v>
      </c>
      <c r="C698">
        <v>17</v>
      </c>
      <c r="D698" t="s">
        <v>25</v>
      </c>
      <c r="E698" t="s">
        <v>85</v>
      </c>
      <c r="F698" t="s">
        <v>790</v>
      </c>
      <c r="G698">
        <v>10</v>
      </c>
      <c r="H698">
        <v>2</v>
      </c>
      <c r="I698">
        <v>22</v>
      </c>
      <c r="J698" t="b">
        <v>0</v>
      </c>
      <c r="K698" t="s">
        <v>1104</v>
      </c>
      <c r="L698">
        <v>33</v>
      </c>
      <c r="M698">
        <v>5.9</v>
      </c>
      <c r="N698" t="s">
        <v>1107</v>
      </c>
      <c r="O698">
        <v>81.2</v>
      </c>
      <c r="P698">
        <v>6.32</v>
      </c>
      <c r="Q698" t="s">
        <v>1110</v>
      </c>
    </row>
    <row r="699" spans="1:17">
      <c r="A699" s="2">
        <v>45884</v>
      </c>
      <c r="B699">
        <v>3</v>
      </c>
      <c r="C699">
        <v>18</v>
      </c>
      <c r="D699" t="s">
        <v>26</v>
      </c>
      <c r="E699" t="s">
        <v>86</v>
      </c>
      <c r="F699" t="s">
        <v>791</v>
      </c>
      <c r="G699">
        <v>10</v>
      </c>
      <c r="H699">
        <v>3</v>
      </c>
      <c r="I699">
        <v>29</v>
      </c>
      <c r="J699" t="b">
        <v>0</v>
      </c>
      <c r="K699" t="s">
        <v>1104</v>
      </c>
      <c r="L699">
        <v>33</v>
      </c>
      <c r="M699">
        <v>5.6</v>
      </c>
      <c r="N699" t="s">
        <v>1107</v>
      </c>
      <c r="O699">
        <v>66.099999999999994</v>
      </c>
      <c r="P699">
        <v>7.43</v>
      </c>
      <c r="Q699" t="s">
        <v>1110</v>
      </c>
    </row>
    <row r="700" spans="1:17">
      <c r="A700" s="2">
        <v>45884</v>
      </c>
      <c r="B700">
        <v>3</v>
      </c>
      <c r="C700">
        <v>19</v>
      </c>
      <c r="D700" t="s">
        <v>27</v>
      </c>
      <c r="E700" t="s">
        <v>87</v>
      </c>
      <c r="F700" t="s">
        <v>792</v>
      </c>
      <c r="G700">
        <v>8</v>
      </c>
      <c r="H700">
        <v>1</v>
      </c>
      <c r="I700">
        <v>36</v>
      </c>
      <c r="J700" t="b">
        <v>0</v>
      </c>
      <c r="K700" t="s">
        <v>1104</v>
      </c>
      <c r="L700">
        <v>33</v>
      </c>
      <c r="M700">
        <v>5.9</v>
      </c>
      <c r="N700" t="s">
        <v>1107</v>
      </c>
      <c r="O700">
        <v>62.1</v>
      </c>
      <c r="P700">
        <v>6.12</v>
      </c>
      <c r="Q700" t="s">
        <v>1110</v>
      </c>
    </row>
    <row r="701" spans="1:17">
      <c r="A701" s="2">
        <v>45884</v>
      </c>
      <c r="B701">
        <v>3</v>
      </c>
      <c r="C701">
        <v>20</v>
      </c>
      <c r="D701" t="s">
        <v>28</v>
      </c>
      <c r="E701" t="s">
        <v>88</v>
      </c>
      <c r="F701" t="s">
        <v>793</v>
      </c>
      <c r="G701">
        <v>2</v>
      </c>
      <c r="H701">
        <v>1</v>
      </c>
      <c r="I701">
        <v>37</v>
      </c>
      <c r="J701" t="b">
        <v>0</v>
      </c>
      <c r="K701" t="s">
        <v>1104</v>
      </c>
      <c r="L701">
        <v>33</v>
      </c>
      <c r="M701">
        <v>5.6</v>
      </c>
      <c r="N701" t="s">
        <v>1107</v>
      </c>
      <c r="O701">
        <v>76.599999999999994</v>
      </c>
      <c r="P701">
        <v>5.45</v>
      </c>
      <c r="Q701" t="s">
        <v>1110</v>
      </c>
    </row>
    <row r="702" spans="1:17">
      <c r="A702" s="2">
        <v>45884</v>
      </c>
      <c r="B702">
        <v>4</v>
      </c>
      <c r="C702">
        <v>1</v>
      </c>
      <c r="D702" t="s">
        <v>17</v>
      </c>
      <c r="E702" t="s">
        <v>89</v>
      </c>
      <c r="F702" t="s">
        <v>794</v>
      </c>
      <c r="G702">
        <v>0</v>
      </c>
      <c r="H702">
        <v>0</v>
      </c>
      <c r="I702">
        <v>0</v>
      </c>
      <c r="J702" t="b">
        <v>0</v>
      </c>
      <c r="L702">
        <v>34</v>
      </c>
      <c r="N702" t="s">
        <v>1107</v>
      </c>
      <c r="O702">
        <v>65.7</v>
      </c>
      <c r="P702">
        <v>7.41</v>
      </c>
      <c r="Q702" t="s">
        <v>1110</v>
      </c>
    </row>
    <row r="703" spans="1:17">
      <c r="A703" s="2">
        <v>45884</v>
      </c>
      <c r="B703">
        <v>4</v>
      </c>
      <c r="C703">
        <v>2</v>
      </c>
      <c r="D703" t="s">
        <v>1269</v>
      </c>
      <c r="E703" t="s">
        <v>90</v>
      </c>
      <c r="F703" t="s">
        <v>795</v>
      </c>
      <c r="G703">
        <v>1</v>
      </c>
      <c r="H703">
        <v>0</v>
      </c>
      <c r="I703">
        <v>1</v>
      </c>
      <c r="J703" t="b">
        <v>0</v>
      </c>
      <c r="L703">
        <v>34</v>
      </c>
      <c r="N703" t="s">
        <v>1107</v>
      </c>
      <c r="O703">
        <v>71.5</v>
      </c>
      <c r="P703">
        <v>7.56</v>
      </c>
      <c r="Q703" t="s">
        <v>1110</v>
      </c>
    </row>
    <row r="704" spans="1:17">
      <c r="A704" s="2">
        <v>45884</v>
      </c>
      <c r="B704">
        <v>4</v>
      </c>
      <c r="C704">
        <v>3</v>
      </c>
      <c r="D704" t="s">
        <v>18</v>
      </c>
      <c r="E704" t="s">
        <v>91</v>
      </c>
      <c r="F704" t="s">
        <v>796</v>
      </c>
      <c r="G704">
        <v>2</v>
      </c>
      <c r="H704">
        <v>1</v>
      </c>
      <c r="I704">
        <v>2</v>
      </c>
      <c r="J704" t="b">
        <v>0</v>
      </c>
      <c r="L704">
        <v>34</v>
      </c>
      <c r="M704">
        <v>10</v>
      </c>
      <c r="N704" t="s">
        <v>1107</v>
      </c>
      <c r="O704">
        <v>60.7</v>
      </c>
      <c r="P704">
        <v>5.44</v>
      </c>
      <c r="Q704" t="s">
        <v>1110</v>
      </c>
    </row>
    <row r="705" spans="1:17">
      <c r="A705" s="2">
        <v>45884</v>
      </c>
      <c r="B705">
        <v>4</v>
      </c>
      <c r="C705">
        <v>4</v>
      </c>
      <c r="D705" t="s">
        <v>19</v>
      </c>
      <c r="E705" t="s">
        <v>92</v>
      </c>
      <c r="F705" t="s">
        <v>797</v>
      </c>
      <c r="G705">
        <v>3</v>
      </c>
      <c r="H705">
        <v>2</v>
      </c>
      <c r="I705">
        <v>3</v>
      </c>
      <c r="J705" t="b">
        <v>0</v>
      </c>
      <c r="L705">
        <v>34</v>
      </c>
      <c r="M705">
        <v>8.8000000000000007</v>
      </c>
      <c r="N705" t="s">
        <v>1107</v>
      </c>
      <c r="O705">
        <v>83.6</v>
      </c>
      <c r="P705">
        <v>5.25</v>
      </c>
      <c r="Q705" t="s">
        <v>1110</v>
      </c>
    </row>
    <row r="706" spans="1:17">
      <c r="A706" s="2">
        <v>45884</v>
      </c>
      <c r="B706">
        <v>4</v>
      </c>
      <c r="C706">
        <v>5</v>
      </c>
      <c r="D706" t="s">
        <v>1115</v>
      </c>
      <c r="E706" t="s">
        <v>93</v>
      </c>
      <c r="F706" t="s">
        <v>798</v>
      </c>
      <c r="G706">
        <v>1</v>
      </c>
      <c r="H706">
        <v>2</v>
      </c>
      <c r="I706">
        <v>2</v>
      </c>
      <c r="J706" t="b">
        <v>0</v>
      </c>
      <c r="L706">
        <v>34</v>
      </c>
      <c r="M706">
        <v>9.6</v>
      </c>
      <c r="N706" t="s">
        <v>1106</v>
      </c>
      <c r="O706">
        <v>64.099999999999994</v>
      </c>
      <c r="P706">
        <v>5.18</v>
      </c>
      <c r="Q706" t="s">
        <v>1110</v>
      </c>
    </row>
    <row r="707" spans="1:17">
      <c r="A707" s="2">
        <v>45884</v>
      </c>
      <c r="B707">
        <v>4</v>
      </c>
      <c r="C707">
        <v>6</v>
      </c>
      <c r="D707" t="s">
        <v>1270</v>
      </c>
      <c r="E707" t="s">
        <v>94</v>
      </c>
      <c r="F707" t="s">
        <v>799</v>
      </c>
      <c r="G707">
        <v>8</v>
      </c>
      <c r="H707">
        <v>2</v>
      </c>
      <c r="I707">
        <v>8</v>
      </c>
      <c r="J707" t="b">
        <v>0</v>
      </c>
      <c r="L707">
        <v>34</v>
      </c>
      <c r="M707">
        <v>9</v>
      </c>
      <c r="N707" t="s">
        <v>1107</v>
      </c>
      <c r="O707">
        <v>76</v>
      </c>
      <c r="P707">
        <v>7.71</v>
      </c>
      <c r="Q707" t="s">
        <v>1110</v>
      </c>
    </row>
    <row r="708" spans="1:17">
      <c r="A708" s="2">
        <v>45884</v>
      </c>
      <c r="B708">
        <v>4</v>
      </c>
      <c r="C708">
        <v>7</v>
      </c>
      <c r="D708" t="s">
        <v>1114</v>
      </c>
      <c r="E708" t="s">
        <v>95</v>
      </c>
      <c r="F708" t="s">
        <v>800</v>
      </c>
      <c r="G708">
        <v>4</v>
      </c>
      <c r="H708">
        <v>5</v>
      </c>
      <c r="I708">
        <v>7</v>
      </c>
      <c r="J708" t="b">
        <v>0</v>
      </c>
      <c r="L708">
        <v>34</v>
      </c>
      <c r="M708">
        <v>8.8000000000000007</v>
      </c>
      <c r="N708" t="s">
        <v>1107</v>
      </c>
      <c r="O708">
        <v>77.8</v>
      </c>
      <c r="P708">
        <v>6.98</v>
      </c>
      <c r="Q708" t="s">
        <v>1110</v>
      </c>
    </row>
    <row r="709" spans="1:17">
      <c r="A709" s="2">
        <v>45884</v>
      </c>
      <c r="B709">
        <v>4</v>
      </c>
      <c r="C709">
        <v>8</v>
      </c>
      <c r="D709" t="s">
        <v>1271</v>
      </c>
      <c r="E709" t="s">
        <v>96</v>
      </c>
      <c r="F709" t="s">
        <v>801</v>
      </c>
      <c r="G709">
        <v>8</v>
      </c>
      <c r="H709">
        <v>0</v>
      </c>
      <c r="I709">
        <v>15</v>
      </c>
      <c r="J709" t="b">
        <v>0</v>
      </c>
      <c r="L709">
        <v>34</v>
      </c>
      <c r="N709" t="s">
        <v>1107</v>
      </c>
      <c r="O709">
        <v>70.099999999999994</v>
      </c>
      <c r="P709">
        <v>7.04</v>
      </c>
      <c r="Q709" t="s">
        <v>1110</v>
      </c>
    </row>
    <row r="710" spans="1:17">
      <c r="A710" s="2">
        <v>45884</v>
      </c>
      <c r="B710">
        <v>4</v>
      </c>
      <c r="C710">
        <v>9</v>
      </c>
      <c r="D710" t="s">
        <v>20</v>
      </c>
      <c r="E710" t="s">
        <v>97</v>
      </c>
      <c r="F710" t="s">
        <v>802</v>
      </c>
      <c r="G710">
        <v>9</v>
      </c>
      <c r="H710">
        <v>4</v>
      </c>
      <c r="I710">
        <v>20</v>
      </c>
      <c r="J710" t="b">
        <v>0</v>
      </c>
      <c r="L710">
        <v>34</v>
      </c>
      <c r="M710">
        <v>9.4</v>
      </c>
      <c r="N710" t="s">
        <v>1107</v>
      </c>
      <c r="O710">
        <v>78.599999999999994</v>
      </c>
      <c r="P710">
        <v>7.73</v>
      </c>
      <c r="Q710" t="s">
        <v>1110</v>
      </c>
    </row>
    <row r="711" spans="1:17">
      <c r="A711" s="2">
        <v>45884</v>
      </c>
      <c r="B711">
        <v>4</v>
      </c>
      <c r="C711">
        <v>10</v>
      </c>
      <c r="D711" t="s">
        <v>1113</v>
      </c>
      <c r="E711" t="s">
        <v>98</v>
      </c>
      <c r="F711" t="s">
        <v>803</v>
      </c>
      <c r="G711">
        <v>9</v>
      </c>
      <c r="H711">
        <v>5</v>
      </c>
      <c r="I711">
        <v>24</v>
      </c>
      <c r="J711" t="b">
        <v>0</v>
      </c>
      <c r="L711">
        <v>34</v>
      </c>
      <c r="M711">
        <v>7.8</v>
      </c>
      <c r="N711" t="s">
        <v>1107</v>
      </c>
      <c r="O711">
        <v>73.2</v>
      </c>
      <c r="P711">
        <v>7.76</v>
      </c>
      <c r="Q711" t="s">
        <v>1110</v>
      </c>
    </row>
    <row r="712" spans="1:17">
      <c r="A712" s="2">
        <v>45884</v>
      </c>
      <c r="B712">
        <v>4</v>
      </c>
      <c r="C712">
        <v>11</v>
      </c>
      <c r="D712" t="s">
        <v>1272</v>
      </c>
      <c r="E712" t="s">
        <v>99</v>
      </c>
      <c r="F712" t="s">
        <v>387</v>
      </c>
      <c r="G712">
        <v>2</v>
      </c>
      <c r="H712">
        <v>4</v>
      </c>
      <c r="I712">
        <v>22</v>
      </c>
      <c r="J712" t="b">
        <v>0</v>
      </c>
      <c r="L712">
        <v>34</v>
      </c>
      <c r="M712">
        <v>10</v>
      </c>
      <c r="N712" t="s">
        <v>1107</v>
      </c>
      <c r="O712">
        <v>65.099999999999994</v>
      </c>
      <c r="P712">
        <v>6.63</v>
      </c>
      <c r="Q712" t="s">
        <v>1110</v>
      </c>
    </row>
    <row r="713" spans="1:17">
      <c r="A713" s="2">
        <v>45884</v>
      </c>
      <c r="B713">
        <v>4</v>
      </c>
      <c r="C713">
        <v>12</v>
      </c>
      <c r="D713" t="s">
        <v>21</v>
      </c>
      <c r="E713" t="s">
        <v>100</v>
      </c>
      <c r="F713" t="s">
        <v>804</v>
      </c>
      <c r="G713">
        <v>0</v>
      </c>
      <c r="H713">
        <v>4</v>
      </c>
      <c r="I713">
        <v>18</v>
      </c>
      <c r="J713" t="b">
        <v>0</v>
      </c>
      <c r="L713">
        <v>34</v>
      </c>
      <c r="N713" t="s">
        <v>1107</v>
      </c>
      <c r="O713">
        <v>77.400000000000006</v>
      </c>
      <c r="P713">
        <v>7.66</v>
      </c>
      <c r="Q713" t="s">
        <v>1110</v>
      </c>
    </row>
    <row r="714" spans="1:17">
      <c r="A714" s="2">
        <v>45884</v>
      </c>
      <c r="B714">
        <v>4</v>
      </c>
      <c r="C714">
        <v>13</v>
      </c>
      <c r="D714" t="s">
        <v>22</v>
      </c>
      <c r="E714" t="s">
        <v>101</v>
      </c>
      <c r="F714" t="s">
        <v>805</v>
      </c>
      <c r="G714">
        <v>0</v>
      </c>
      <c r="H714">
        <v>0</v>
      </c>
      <c r="I714">
        <v>18</v>
      </c>
      <c r="J714" t="b">
        <v>0</v>
      </c>
      <c r="L714">
        <v>34</v>
      </c>
      <c r="N714" t="s">
        <v>1107</v>
      </c>
      <c r="O714">
        <v>64.900000000000006</v>
      </c>
      <c r="P714">
        <v>5.9</v>
      </c>
      <c r="Q714" t="s">
        <v>1110</v>
      </c>
    </row>
    <row r="715" spans="1:17">
      <c r="A715" s="2">
        <v>45884</v>
      </c>
      <c r="B715">
        <v>4</v>
      </c>
      <c r="C715">
        <v>14</v>
      </c>
      <c r="D715" t="s">
        <v>23</v>
      </c>
      <c r="E715" t="s">
        <v>102</v>
      </c>
      <c r="F715" t="s">
        <v>806</v>
      </c>
      <c r="G715">
        <v>4</v>
      </c>
      <c r="H715">
        <v>5</v>
      </c>
      <c r="I715">
        <v>17</v>
      </c>
      <c r="J715" t="b">
        <v>0</v>
      </c>
      <c r="L715">
        <v>34</v>
      </c>
      <c r="M715">
        <v>9.6999999999999993</v>
      </c>
      <c r="N715" t="s">
        <v>1107</v>
      </c>
      <c r="O715">
        <v>78.099999999999994</v>
      </c>
      <c r="P715">
        <v>7.22</v>
      </c>
      <c r="Q715" t="s">
        <v>1110</v>
      </c>
    </row>
    <row r="716" spans="1:17">
      <c r="A716" s="2">
        <v>45884</v>
      </c>
      <c r="B716">
        <v>4</v>
      </c>
      <c r="C716">
        <v>15</v>
      </c>
      <c r="D716" t="s">
        <v>24</v>
      </c>
      <c r="E716" t="s">
        <v>103</v>
      </c>
      <c r="F716" t="s">
        <v>807</v>
      </c>
      <c r="G716">
        <v>4</v>
      </c>
      <c r="H716">
        <v>1</v>
      </c>
      <c r="I716">
        <v>20</v>
      </c>
      <c r="J716" t="b">
        <v>0</v>
      </c>
      <c r="L716">
        <v>34</v>
      </c>
      <c r="M716">
        <v>9.9</v>
      </c>
      <c r="N716" t="s">
        <v>1106</v>
      </c>
      <c r="O716">
        <v>67.099999999999994</v>
      </c>
      <c r="P716">
        <v>5.28</v>
      </c>
      <c r="Q716" t="s">
        <v>1110</v>
      </c>
    </row>
    <row r="717" spans="1:17">
      <c r="A717" s="2">
        <v>45884</v>
      </c>
      <c r="B717">
        <v>4</v>
      </c>
      <c r="C717">
        <v>16</v>
      </c>
      <c r="D717" t="s">
        <v>1273</v>
      </c>
      <c r="E717" t="s">
        <v>104</v>
      </c>
      <c r="F717" t="s">
        <v>808</v>
      </c>
      <c r="G717">
        <v>0</v>
      </c>
      <c r="H717">
        <v>5</v>
      </c>
      <c r="I717">
        <v>15</v>
      </c>
      <c r="J717" t="b">
        <v>0</v>
      </c>
      <c r="L717">
        <v>34</v>
      </c>
      <c r="M717">
        <v>10</v>
      </c>
      <c r="N717" t="s">
        <v>1107</v>
      </c>
      <c r="O717">
        <v>78.900000000000006</v>
      </c>
      <c r="P717">
        <v>5.48</v>
      </c>
      <c r="Q717" t="s">
        <v>1110</v>
      </c>
    </row>
    <row r="718" spans="1:17">
      <c r="A718" s="2">
        <v>45884</v>
      </c>
      <c r="B718">
        <v>4</v>
      </c>
      <c r="C718">
        <v>17</v>
      </c>
      <c r="D718" t="s">
        <v>25</v>
      </c>
      <c r="E718" t="s">
        <v>105</v>
      </c>
      <c r="F718" t="s">
        <v>809</v>
      </c>
      <c r="G718">
        <v>4</v>
      </c>
      <c r="H718">
        <v>5</v>
      </c>
      <c r="I718">
        <v>14</v>
      </c>
      <c r="J718" t="b">
        <v>0</v>
      </c>
      <c r="K718" t="s">
        <v>1104</v>
      </c>
      <c r="L718">
        <v>34</v>
      </c>
      <c r="M718">
        <v>5.2</v>
      </c>
      <c r="N718" t="s">
        <v>1107</v>
      </c>
      <c r="O718">
        <v>74.8</v>
      </c>
      <c r="P718">
        <v>5.72</v>
      </c>
      <c r="Q718" t="s">
        <v>1110</v>
      </c>
    </row>
    <row r="719" spans="1:17">
      <c r="A719" s="2">
        <v>45884</v>
      </c>
      <c r="B719">
        <v>4</v>
      </c>
      <c r="C719">
        <v>18</v>
      </c>
      <c r="D719" t="s">
        <v>26</v>
      </c>
      <c r="E719" t="s">
        <v>106</v>
      </c>
      <c r="F719" t="s">
        <v>810</v>
      </c>
      <c r="G719">
        <v>3</v>
      </c>
      <c r="H719">
        <v>2</v>
      </c>
      <c r="I719">
        <v>15</v>
      </c>
      <c r="J719" t="b">
        <v>0</v>
      </c>
      <c r="K719" t="s">
        <v>1104</v>
      </c>
      <c r="L719">
        <v>34</v>
      </c>
      <c r="M719">
        <v>5.3</v>
      </c>
      <c r="N719" t="s">
        <v>1107</v>
      </c>
      <c r="O719">
        <v>84.7</v>
      </c>
      <c r="P719">
        <v>5.33</v>
      </c>
      <c r="Q719" t="s">
        <v>1110</v>
      </c>
    </row>
    <row r="720" spans="1:17">
      <c r="A720" s="2">
        <v>45884</v>
      </c>
      <c r="B720">
        <v>4</v>
      </c>
      <c r="C720">
        <v>19</v>
      </c>
      <c r="D720" t="s">
        <v>27</v>
      </c>
      <c r="E720" t="s">
        <v>107</v>
      </c>
      <c r="F720" t="s">
        <v>811</v>
      </c>
      <c r="G720">
        <v>3</v>
      </c>
      <c r="H720">
        <v>5</v>
      </c>
      <c r="I720">
        <v>13</v>
      </c>
      <c r="J720" t="b">
        <v>0</v>
      </c>
      <c r="K720" t="s">
        <v>1104</v>
      </c>
      <c r="L720">
        <v>34</v>
      </c>
      <c r="M720">
        <v>5.2</v>
      </c>
      <c r="N720" t="s">
        <v>1107</v>
      </c>
      <c r="O720">
        <v>75.7</v>
      </c>
      <c r="P720">
        <v>6.06</v>
      </c>
      <c r="Q720" t="s">
        <v>1110</v>
      </c>
    </row>
    <row r="721" spans="1:17">
      <c r="A721" s="2">
        <v>45884</v>
      </c>
      <c r="B721">
        <v>4</v>
      </c>
      <c r="C721">
        <v>20</v>
      </c>
      <c r="D721" t="s">
        <v>28</v>
      </c>
      <c r="E721" t="s">
        <v>108</v>
      </c>
      <c r="F721" t="s">
        <v>812</v>
      </c>
      <c r="G721">
        <v>5</v>
      </c>
      <c r="H721">
        <v>0</v>
      </c>
      <c r="I721">
        <v>18</v>
      </c>
      <c r="J721" t="b">
        <v>0</v>
      </c>
      <c r="K721" t="s">
        <v>1104</v>
      </c>
      <c r="L721">
        <v>34</v>
      </c>
      <c r="N721" t="s">
        <v>1107</v>
      </c>
      <c r="O721">
        <v>63.1</v>
      </c>
      <c r="P721">
        <v>5.89</v>
      </c>
      <c r="Q721" t="s">
        <v>1110</v>
      </c>
    </row>
    <row r="722" spans="1:17">
      <c r="A722" s="2">
        <v>45884</v>
      </c>
      <c r="B722">
        <v>5</v>
      </c>
      <c r="C722">
        <v>1</v>
      </c>
      <c r="D722" t="s">
        <v>17</v>
      </c>
      <c r="E722" t="s">
        <v>109</v>
      </c>
      <c r="F722" t="s">
        <v>813</v>
      </c>
      <c r="G722">
        <v>0</v>
      </c>
      <c r="H722">
        <v>0</v>
      </c>
      <c r="I722">
        <v>0</v>
      </c>
      <c r="J722" t="b">
        <v>0</v>
      </c>
      <c r="L722">
        <v>33</v>
      </c>
      <c r="N722" t="s">
        <v>1107</v>
      </c>
      <c r="O722">
        <v>84.6</v>
      </c>
      <c r="P722">
        <v>7.42</v>
      </c>
      <c r="Q722" t="s">
        <v>1112</v>
      </c>
    </row>
    <row r="723" spans="1:17">
      <c r="A723" s="2">
        <v>45884</v>
      </c>
      <c r="B723">
        <v>5</v>
      </c>
      <c r="C723">
        <v>2</v>
      </c>
      <c r="D723" t="s">
        <v>1269</v>
      </c>
      <c r="E723" t="s">
        <v>110</v>
      </c>
      <c r="F723" t="s">
        <v>814</v>
      </c>
      <c r="G723">
        <v>3</v>
      </c>
      <c r="H723">
        <v>0</v>
      </c>
      <c r="I723">
        <v>3</v>
      </c>
      <c r="J723" t="b">
        <v>0</v>
      </c>
      <c r="L723">
        <v>33</v>
      </c>
      <c r="N723" t="s">
        <v>1107</v>
      </c>
      <c r="O723">
        <v>82.4</v>
      </c>
      <c r="P723">
        <v>6.88</v>
      </c>
      <c r="Q723" t="s">
        <v>1110</v>
      </c>
    </row>
    <row r="724" spans="1:17">
      <c r="A724" s="2">
        <v>45884</v>
      </c>
      <c r="B724">
        <v>5</v>
      </c>
      <c r="C724">
        <v>3</v>
      </c>
      <c r="D724" t="s">
        <v>18</v>
      </c>
      <c r="E724" t="s">
        <v>111</v>
      </c>
      <c r="F724" t="s">
        <v>815</v>
      </c>
      <c r="G724">
        <v>2</v>
      </c>
      <c r="H724">
        <v>1</v>
      </c>
      <c r="I724">
        <v>4</v>
      </c>
      <c r="J724" t="b">
        <v>0</v>
      </c>
      <c r="L724">
        <v>33</v>
      </c>
      <c r="M724">
        <v>6.9</v>
      </c>
      <c r="N724" t="s">
        <v>1107</v>
      </c>
      <c r="O724">
        <v>68.8</v>
      </c>
      <c r="P724">
        <v>5.85</v>
      </c>
      <c r="Q724" t="s">
        <v>1110</v>
      </c>
    </row>
    <row r="725" spans="1:17">
      <c r="A725" s="2">
        <v>45884</v>
      </c>
      <c r="B725">
        <v>5</v>
      </c>
      <c r="C725">
        <v>4</v>
      </c>
      <c r="D725" t="s">
        <v>19</v>
      </c>
      <c r="E725" t="s">
        <v>112</v>
      </c>
      <c r="F725" t="s">
        <v>816</v>
      </c>
      <c r="G725">
        <v>5</v>
      </c>
      <c r="H725">
        <v>2</v>
      </c>
      <c r="I725">
        <v>7</v>
      </c>
      <c r="J725" t="b">
        <v>0</v>
      </c>
      <c r="L725">
        <v>33</v>
      </c>
      <c r="M725">
        <v>6.5</v>
      </c>
      <c r="N725" t="s">
        <v>1107</v>
      </c>
      <c r="O725">
        <v>76.8</v>
      </c>
      <c r="P725">
        <v>7.14</v>
      </c>
      <c r="Q725" t="s">
        <v>1110</v>
      </c>
    </row>
    <row r="726" spans="1:17">
      <c r="A726" s="2">
        <v>45884</v>
      </c>
      <c r="B726">
        <v>5</v>
      </c>
      <c r="C726">
        <v>5</v>
      </c>
      <c r="D726" t="s">
        <v>1115</v>
      </c>
      <c r="E726" t="s">
        <v>113</v>
      </c>
      <c r="F726" t="s">
        <v>817</v>
      </c>
      <c r="G726">
        <v>3</v>
      </c>
      <c r="H726">
        <v>2</v>
      </c>
      <c r="I726">
        <v>8</v>
      </c>
      <c r="J726" t="b">
        <v>0</v>
      </c>
      <c r="L726">
        <v>33</v>
      </c>
      <c r="M726">
        <v>5.8</v>
      </c>
      <c r="N726" t="s">
        <v>1107</v>
      </c>
      <c r="O726">
        <v>68.2</v>
      </c>
      <c r="P726">
        <v>6.75</v>
      </c>
      <c r="Q726" t="s">
        <v>1111</v>
      </c>
    </row>
    <row r="727" spans="1:17">
      <c r="A727" s="2">
        <v>45884</v>
      </c>
      <c r="B727">
        <v>5</v>
      </c>
      <c r="C727">
        <v>6</v>
      </c>
      <c r="D727" t="s">
        <v>1270</v>
      </c>
      <c r="E727" t="s">
        <v>114</v>
      </c>
      <c r="F727" t="s">
        <v>818</v>
      </c>
      <c r="G727">
        <v>4</v>
      </c>
      <c r="H727">
        <v>2</v>
      </c>
      <c r="I727">
        <v>10</v>
      </c>
      <c r="J727" t="b">
        <v>0</v>
      </c>
      <c r="L727">
        <v>33</v>
      </c>
      <c r="M727">
        <v>6.2</v>
      </c>
      <c r="N727" t="s">
        <v>1107</v>
      </c>
      <c r="O727">
        <v>62.4</v>
      </c>
      <c r="P727">
        <v>7.13</v>
      </c>
      <c r="Q727" t="s">
        <v>1111</v>
      </c>
    </row>
    <row r="728" spans="1:17">
      <c r="A728" s="2">
        <v>45884</v>
      </c>
      <c r="B728">
        <v>5</v>
      </c>
      <c r="C728">
        <v>7</v>
      </c>
      <c r="D728" t="s">
        <v>1114</v>
      </c>
      <c r="E728" t="s">
        <v>115</v>
      </c>
      <c r="F728" t="s">
        <v>819</v>
      </c>
      <c r="G728">
        <v>1</v>
      </c>
      <c r="H728">
        <v>2</v>
      </c>
      <c r="I728">
        <v>9</v>
      </c>
      <c r="J728" t="b">
        <v>0</v>
      </c>
      <c r="L728">
        <v>33</v>
      </c>
      <c r="M728">
        <v>7.8</v>
      </c>
      <c r="N728" t="s">
        <v>1107</v>
      </c>
      <c r="O728">
        <v>61.6</v>
      </c>
      <c r="P728">
        <v>7.67</v>
      </c>
      <c r="Q728" t="s">
        <v>1110</v>
      </c>
    </row>
    <row r="729" spans="1:17">
      <c r="A729" s="2">
        <v>45884</v>
      </c>
      <c r="B729">
        <v>5</v>
      </c>
      <c r="C729">
        <v>8</v>
      </c>
      <c r="D729" t="s">
        <v>1271</v>
      </c>
      <c r="E729" t="s">
        <v>116</v>
      </c>
      <c r="F729" t="s">
        <v>116</v>
      </c>
      <c r="G729">
        <v>3</v>
      </c>
      <c r="H729">
        <v>2</v>
      </c>
      <c r="I729">
        <v>10</v>
      </c>
      <c r="J729" t="b">
        <v>0</v>
      </c>
      <c r="L729">
        <v>33</v>
      </c>
      <c r="N729" t="s">
        <v>1107</v>
      </c>
      <c r="O729">
        <v>69.2</v>
      </c>
      <c r="P729">
        <v>6.58</v>
      </c>
      <c r="Q729" t="s">
        <v>1110</v>
      </c>
    </row>
    <row r="730" spans="1:17">
      <c r="A730" s="2">
        <v>45884</v>
      </c>
      <c r="B730">
        <v>5</v>
      </c>
      <c r="C730">
        <v>9</v>
      </c>
      <c r="D730" t="s">
        <v>20</v>
      </c>
      <c r="E730" t="s">
        <v>117</v>
      </c>
      <c r="F730" t="s">
        <v>820</v>
      </c>
      <c r="G730">
        <v>0</v>
      </c>
      <c r="H730">
        <v>0</v>
      </c>
      <c r="I730">
        <v>10</v>
      </c>
      <c r="J730" t="b">
        <v>0</v>
      </c>
      <c r="L730">
        <v>33</v>
      </c>
      <c r="N730" t="s">
        <v>1107</v>
      </c>
      <c r="O730">
        <v>69.900000000000006</v>
      </c>
      <c r="P730">
        <v>5.79</v>
      </c>
      <c r="Q730" t="s">
        <v>1110</v>
      </c>
    </row>
    <row r="731" spans="1:17">
      <c r="A731" s="2">
        <v>45884</v>
      </c>
      <c r="B731">
        <v>5</v>
      </c>
      <c r="C731">
        <v>10</v>
      </c>
      <c r="D731" t="s">
        <v>1113</v>
      </c>
      <c r="E731" t="s">
        <v>118</v>
      </c>
      <c r="F731" t="s">
        <v>821</v>
      </c>
      <c r="G731">
        <v>4</v>
      </c>
      <c r="H731">
        <v>3</v>
      </c>
      <c r="I731">
        <v>11</v>
      </c>
      <c r="J731" t="b">
        <v>0</v>
      </c>
      <c r="L731">
        <v>33</v>
      </c>
      <c r="M731">
        <v>8</v>
      </c>
      <c r="N731" t="s">
        <v>1107</v>
      </c>
      <c r="O731">
        <v>71</v>
      </c>
      <c r="P731">
        <v>7.79</v>
      </c>
      <c r="Q731" t="s">
        <v>1110</v>
      </c>
    </row>
    <row r="732" spans="1:17">
      <c r="A732" s="2">
        <v>45884</v>
      </c>
      <c r="B732">
        <v>5</v>
      </c>
      <c r="C732">
        <v>11</v>
      </c>
      <c r="D732" t="s">
        <v>1272</v>
      </c>
      <c r="E732" t="s">
        <v>119</v>
      </c>
      <c r="F732" t="s">
        <v>274</v>
      </c>
      <c r="G732">
        <v>2</v>
      </c>
      <c r="H732">
        <v>1</v>
      </c>
      <c r="I732">
        <v>12</v>
      </c>
      <c r="J732" t="b">
        <v>0</v>
      </c>
      <c r="L732">
        <v>33</v>
      </c>
      <c r="M732">
        <v>8.4</v>
      </c>
      <c r="N732" t="s">
        <v>1109</v>
      </c>
      <c r="O732">
        <v>80.599999999999994</v>
      </c>
      <c r="P732">
        <v>5.43</v>
      </c>
      <c r="Q732" t="s">
        <v>1110</v>
      </c>
    </row>
    <row r="733" spans="1:17">
      <c r="A733" s="2">
        <v>45884</v>
      </c>
      <c r="B733">
        <v>5</v>
      </c>
      <c r="C733">
        <v>12</v>
      </c>
      <c r="D733" t="s">
        <v>21</v>
      </c>
      <c r="E733" t="s">
        <v>120</v>
      </c>
      <c r="F733" t="s">
        <v>822</v>
      </c>
      <c r="G733">
        <v>2</v>
      </c>
      <c r="H733">
        <v>5</v>
      </c>
      <c r="I733">
        <v>9</v>
      </c>
      <c r="J733" t="b">
        <v>0</v>
      </c>
      <c r="L733">
        <v>33</v>
      </c>
      <c r="M733">
        <v>7.6</v>
      </c>
      <c r="N733" t="s">
        <v>1107</v>
      </c>
      <c r="O733">
        <v>63.2</v>
      </c>
      <c r="P733">
        <v>7.11</v>
      </c>
      <c r="Q733" t="s">
        <v>1111</v>
      </c>
    </row>
    <row r="734" spans="1:17">
      <c r="A734" s="2">
        <v>45884</v>
      </c>
      <c r="B734">
        <v>5</v>
      </c>
      <c r="C734">
        <v>13</v>
      </c>
      <c r="D734" t="s">
        <v>22</v>
      </c>
      <c r="E734" t="s">
        <v>121</v>
      </c>
      <c r="F734" t="s">
        <v>276</v>
      </c>
      <c r="G734">
        <v>3</v>
      </c>
      <c r="H734">
        <v>1</v>
      </c>
      <c r="I734">
        <v>11</v>
      </c>
      <c r="J734" t="b">
        <v>0</v>
      </c>
      <c r="L734">
        <v>33</v>
      </c>
      <c r="M734">
        <v>7.3</v>
      </c>
      <c r="N734" t="s">
        <v>1107</v>
      </c>
      <c r="O734">
        <v>65.3</v>
      </c>
      <c r="P734">
        <v>6.42</v>
      </c>
      <c r="Q734" t="s">
        <v>1110</v>
      </c>
    </row>
    <row r="735" spans="1:17">
      <c r="A735" s="2">
        <v>45884</v>
      </c>
      <c r="B735">
        <v>5</v>
      </c>
      <c r="C735">
        <v>14</v>
      </c>
      <c r="D735" t="s">
        <v>23</v>
      </c>
      <c r="E735" t="s">
        <v>122</v>
      </c>
      <c r="F735" t="s">
        <v>823</v>
      </c>
      <c r="G735">
        <v>3</v>
      </c>
      <c r="H735">
        <v>3</v>
      </c>
      <c r="I735">
        <v>11</v>
      </c>
      <c r="J735" t="b">
        <v>0</v>
      </c>
      <c r="L735">
        <v>33</v>
      </c>
      <c r="M735">
        <v>7.1</v>
      </c>
      <c r="N735" t="s">
        <v>1108</v>
      </c>
      <c r="O735">
        <v>69.2</v>
      </c>
      <c r="P735">
        <v>7.86</v>
      </c>
      <c r="Q735" t="s">
        <v>1110</v>
      </c>
    </row>
    <row r="736" spans="1:17">
      <c r="A736" s="2">
        <v>45884</v>
      </c>
      <c r="B736">
        <v>5</v>
      </c>
      <c r="C736">
        <v>15</v>
      </c>
      <c r="D736" t="s">
        <v>24</v>
      </c>
      <c r="E736" t="s">
        <v>123</v>
      </c>
      <c r="F736" t="s">
        <v>824</v>
      </c>
      <c r="G736">
        <v>0</v>
      </c>
      <c r="H736">
        <v>3</v>
      </c>
      <c r="I736">
        <v>8</v>
      </c>
      <c r="J736" t="b">
        <v>0</v>
      </c>
      <c r="L736">
        <v>33</v>
      </c>
      <c r="M736">
        <v>7.2</v>
      </c>
      <c r="N736" t="s">
        <v>1107</v>
      </c>
      <c r="O736">
        <v>63</v>
      </c>
      <c r="P736">
        <v>6.72</v>
      </c>
      <c r="Q736" t="s">
        <v>1110</v>
      </c>
    </row>
    <row r="737" spans="1:17">
      <c r="A737" s="2">
        <v>45884</v>
      </c>
      <c r="B737">
        <v>5</v>
      </c>
      <c r="C737">
        <v>16</v>
      </c>
      <c r="D737" t="s">
        <v>1273</v>
      </c>
      <c r="E737" t="s">
        <v>124</v>
      </c>
      <c r="F737" t="s">
        <v>825</v>
      </c>
      <c r="G737">
        <v>4</v>
      </c>
      <c r="H737">
        <v>3</v>
      </c>
      <c r="I737">
        <v>9</v>
      </c>
      <c r="J737" t="b">
        <v>0</v>
      </c>
      <c r="L737">
        <v>33</v>
      </c>
      <c r="M737">
        <v>7</v>
      </c>
      <c r="N737" t="s">
        <v>1107</v>
      </c>
      <c r="O737">
        <v>69.3</v>
      </c>
      <c r="P737">
        <v>7.97</v>
      </c>
      <c r="Q737" t="s">
        <v>1110</v>
      </c>
    </row>
    <row r="738" spans="1:17">
      <c r="A738" s="2">
        <v>45884</v>
      </c>
      <c r="B738">
        <v>5</v>
      </c>
      <c r="C738">
        <v>17</v>
      </c>
      <c r="D738" t="s">
        <v>25</v>
      </c>
      <c r="E738" t="s">
        <v>125</v>
      </c>
      <c r="F738" t="s">
        <v>826</v>
      </c>
      <c r="G738">
        <v>1</v>
      </c>
      <c r="H738">
        <v>1</v>
      </c>
      <c r="I738">
        <v>9</v>
      </c>
      <c r="J738" t="b">
        <v>0</v>
      </c>
      <c r="K738" t="s">
        <v>1104</v>
      </c>
      <c r="L738">
        <v>33</v>
      </c>
      <c r="M738">
        <v>4.0999999999999996</v>
      </c>
      <c r="N738" t="s">
        <v>1107</v>
      </c>
      <c r="O738">
        <v>79.8</v>
      </c>
      <c r="P738">
        <v>5.43</v>
      </c>
      <c r="Q738" t="s">
        <v>1110</v>
      </c>
    </row>
    <row r="739" spans="1:17">
      <c r="A739" s="2">
        <v>45884</v>
      </c>
      <c r="B739">
        <v>5</v>
      </c>
      <c r="C739">
        <v>18</v>
      </c>
      <c r="D739" t="s">
        <v>26</v>
      </c>
      <c r="E739" t="s">
        <v>126</v>
      </c>
      <c r="F739" t="s">
        <v>827</v>
      </c>
      <c r="G739">
        <v>0</v>
      </c>
      <c r="H739">
        <v>0</v>
      </c>
      <c r="I739">
        <v>9</v>
      </c>
      <c r="J739" t="b">
        <v>0</v>
      </c>
      <c r="K739" t="s">
        <v>1104</v>
      </c>
      <c r="L739">
        <v>33</v>
      </c>
      <c r="N739" t="s">
        <v>1107</v>
      </c>
      <c r="O739">
        <v>82.4</v>
      </c>
      <c r="P739">
        <v>7.67</v>
      </c>
      <c r="Q739" t="s">
        <v>1110</v>
      </c>
    </row>
    <row r="740" spans="1:17">
      <c r="A740" s="2">
        <v>45884</v>
      </c>
      <c r="B740">
        <v>5</v>
      </c>
      <c r="C740">
        <v>19</v>
      </c>
      <c r="D740" t="s">
        <v>27</v>
      </c>
      <c r="E740" t="s">
        <v>127</v>
      </c>
      <c r="F740" t="s">
        <v>828</v>
      </c>
      <c r="G740">
        <v>5</v>
      </c>
      <c r="H740">
        <v>4</v>
      </c>
      <c r="I740">
        <v>10</v>
      </c>
      <c r="J740" t="b">
        <v>0</v>
      </c>
      <c r="K740" t="s">
        <v>1104</v>
      </c>
      <c r="L740">
        <v>33</v>
      </c>
      <c r="M740">
        <v>4.0999999999999996</v>
      </c>
      <c r="N740" t="s">
        <v>1107</v>
      </c>
      <c r="O740">
        <v>72.2</v>
      </c>
      <c r="P740">
        <v>5.37</v>
      </c>
      <c r="Q740" t="s">
        <v>1110</v>
      </c>
    </row>
    <row r="741" spans="1:17">
      <c r="A741" s="2">
        <v>45884</v>
      </c>
      <c r="B741">
        <v>5</v>
      </c>
      <c r="C741">
        <v>20</v>
      </c>
      <c r="D741" t="s">
        <v>28</v>
      </c>
      <c r="E741" t="s">
        <v>128</v>
      </c>
      <c r="F741" t="s">
        <v>829</v>
      </c>
      <c r="G741">
        <v>4</v>
      </c>
      <c r="H741">
        <v>2</v>
      </c>
      <c r="I741">
        <v>12</v>
      </c>
      <c r="J741" t="b">
        <v>0</v>
      </c>
      <c r="K741" t="s">
        <v>1104</v>
      </c>
      <c r="L741">
        <v>33</v>
      </c>
      <c r="M741">
        <v>4.2</v>
      </c>
      <c r="N741" t="s">
        <v>1107</v>
      </c>
      <c r="O741">
        <v>70.400000000000006</v>
      </c>
      <c r="P741">
        <v>6.72</v>
      </c>
      <c r="Q741" t="s">
        <v>1110</v>
      </c>
    </row>
    <row r="742" spans="1:17">
      <c r="A742" s="2">
        <v>45884</v>
      </c>
      <c r="B742">
        <v>6</v>
      </c>
      <c r="C742">
        <v>1</v>
      </c>
      <c r="D742" t="s">
        <v>17</v>
      </c>
      <c r="E742" t="s">
        <v>129</v>
      </c>
      <c r="F742" t="s">
        <v>830</v>
      </c>
      <c r="G742">
        <v>0</v>
      </c>
      <c r="H742">
        <v>0</v>
      </c>
      <c r="I742">
        <v>0</v>
      </c>
      <c r="J742" t="b">
        <v>1</v>
      </c>
      <c r="L742">
        <v>36</v>
      </c>
      <c r="N742" t="s">
        <v>1108</v>
      </c>
      <c r="O742">
        <v>92.8</v>
      </c>
      <c r="P742">
        <v>6.43</v>
      </c>
      <c r="Q742" t="s">
        <v>1110</v>
      </c>
    </row>
    <row r="743" spans="1:17">
      <c r="A743" s="2">
        <v>45884</v>
      </c>
      <c r="B743">
        <v>6</v>
      </c>
      <c r="C743">
        <v>2</v>
      </c>
      <c r="D743" t="s">
        <v>1269</v>
      </c>
      <c r="E743" t="s">
        <v>130</v>
      </c>
      <c r="G743">
        <v>0</v>
      </c>
      <c r="H743">
        <v>0</v>
      </c>
      <c r="I743">
        <v>0</v>
      </c>
      <c r="J743" t="b">
        <v>1</v>
      </c>
      <c r="K743" t="s">
        <v>1105</v>
      </c>
      <c r="L743">
        <v>36</v>
      </c>
      <c r="N743" t="s">
        <v>1107</v>
      </c>
      <c r="O743">
        <v>92.6</v>
      </c>
      <c r="P743">
        <v>6.51</v>
      </c>
      <c r="Q743" t="s">
        <v>1110</v>
      </c>
    </row>
    <row r="744" spans="1:17">
      <c r="A744" s="2">
        <v>45884</v>
      </c>
      <c r="B744">
        <v>6</v>
      </c>
      <c r="C744">
        <v>3</v>
      </c>
      <c r="D744" t="s">
        <v>18</v>
      </c>
      <c r="E744" t="s">
        <v>131</v>
      </c>
      <c r="G744">
        <v>0</v>
      </c>
      <c r="H744">
        <v>0</v>
      </c>
      <c r="I744">
        <v>0</v>
      </c>
      <c r="J744" t="b">
        <v>1</v>
      </c>
      <c r="K744" t="s">
        <v>1105</v>
      </c>
      <c r="L744">
        <v>36</v>
      </c>
      <c r="N744" t="s">
        <v>1107</v>
      </c>
      <c r="O744">
        <v>89.5</v>
      </c>
      <c r="P744">
        <v>7.6</v>
      </c>
      <c r="Q744" t="s">
        <v>1110</v>
      </c>
    </row>
    <row r="745" spans="1:17">
      <c r="A745" s="2">
        <v>45884</v>
      </c>
      <c r="B745">
        <v>6</v>
      </c>
      <c r="C745">
        <v>4</v>
      </c>
      <c r="D745" t="s">
        <v>19</v>
      </c>
      <c r="E745" t="s">
        <v>132</v>
      </c>
      <c r="G745">
        <v>0</v>
      </c>
      <c r="H745">
        <v>0</v>
      </c>
      <c r="I745">
        <v>0</v>
      </c>
      <c r="J745" t="b">
        <v>1</v>
      </c>
      <c r="K745" t="s">
        <v>1105</v>
      </c>
      <c r="L745">
        <v>36</v>
      </c>
      <c r="N745" t="s">
        <v>1107</v>
      </c>
      <c r="O745">
        <v>91.6</v>
      </c>
      <c r="P745">
        <v>6.23</v>
      </c>
      <c r="Q745" t="s">
        <v>1110</v>
      </c>
    </row>
    <row r="746" spans="1:17">
      <c r="A746" s="2">
        <v>45884</v>
      </c>
      <c r="B746">
        <v>6</v>
      </c>
      <c r="C746">
        <v>5</v>
      </c>
      <c r="D746" t="s">
        <v>1115</v>
      </c>
      <c r="E746" t="s">
        <v>133</v>
      </c>
      <c r="G746">
        <v>0</v>
      </c>
      <c r="H746">
        <v>0</v>
      </c>
      <c r="I746">
        <v>0</v>
      </c>
      <c r="J746" t="b">
        <v>1</v>
      </c>
      <c r="K746" t="s">
        <v>1105</v>
      </c>
      <c r="L746">
        <v>36</v>
      </c>
      <c r="N746" t="s">
        <v>1107</v>
      </c>
      <c r="O746">
        <v>90.4</v>
      </c>
      <c r="P746">
        <v>7.87</v>
      </c>
      <c r="Q746" t="s">
        <v>1111</v>
      </c>
    </row>
    <row r="747" spans="1:17">
      <c r="A747" s="2">
        <v>45884</v>
      </c>
      <c r="B747">
        <v>6</v>
      </c>
      <c r="C747">
        <v>6</v>
      </c>
      <c r="D747" t="s">
        <v>1270</v>
      </c>
      <c r="E747" t="s">
        <v>134</v>
      </c>
      <c r="G747">
        <v>0</v>
      </c>
      <c r="H747">
        <v>0</v>
      </c>
      <c r="I747">
        <v>0</v>
      </c>
      <c r="J747" t="b">
        <v>1</v>
      </c>
      <c r="K747" t="s">
        <v>1105</v>
      </c>
      <c r="L747">
        <v>36</v>
      </c>
      <c r="N747" t="s">
        <v>1107</v>
      </c>
      <c r="O747">
        <v>91.5</v>
      </c>
      <c r="P747">
        <v>7.6</v>
      </c>
      <c r="Q747" t="s">
        <v>1110</v>
      </c>
    </row>
    <row r="748" spans="1:17">
      <c r="A748" s="2">
        <v>45884</v>
      </c>
      <c r="B748">
        <v>6</v>
      </c>
      <c r="C748">
        <v>7</v>
      </c>
      <c r="D748" t="s">
        <v>1114</v>
      </c>
      <c r="E748" t="s">
        <v>135</v>
      </c>
      <c r="G748">
        <v>0</v>
      </c>
      <c r="H748">
        <v>0</v>
      </c>
      <c r="I748">
        <v>0</v>
      </c>
      <c r="J748" t="b">
        <v>1</v>
      </c>
      <c r="K748" t="s">
        <v>1105</v>
      </c>
      <c r="L748">
        <v>36</v>
      </c>
      <c r="N748" t="s">
        <v>1107</v>
      </c>
      <c r="O748">
        <v>93</v>
      </c>
      <c r="P748">
        <v>7.12</v>
      </c>
      <c r="Q748" t="s">
        <v>1110</v>
      </c>
    </row>
    <row r="749" spans="1:17">
      <c r="A749" s="2">
        <v>45884</v>
      </c>
      <c r="B749">
        <v>6</v>
      </c>
      <c r="C749">
        <v>8</v>
      </c>
      <c r="D749" t="s">
        <v>1271</v>
      </c>
      <c r="E749" t="s">
        <v>136</v>
      </c>
      <c r="G749">
        <v>0</v>
      </c>
      <c r="H749">
        <v>0</v>
      </c>
      <c r="I749">
        <v>0</v>
      </c>
      <c r="J749" t="b">
        <v>1</v>
      </c>
      <c r="K749" t="s">
        <v>1105</v>
      </c>
      <c r="L749">
        <v>36</v>
      </c>
      <c r="N749" t="s">
        <v>1107</v>
      </c>
      <c r="O749">
        <v>90.6</v>
      </c>
      <c r="P749">
        <v>5.58</v>
      </c>
      <c r="Q749" t="s">
        <v>1110</v>
      </c>
    </row>
    <row r="750" spans="1:17">
      <c r="A750" s="2">
        <v>45884</v>
      </c>
      <c r="B750">
        <v>6</v>
      </c>
      <c r="C750">
        <v>9</v>
      </c>
      <c r="D750" t="s">
        <v>20</v>
      </c>
      <c r="E750" t="s">
        <v>137</v>
      </c>
      <c r="G750">
        <v>0</v>
      </c>
      <c r="H750">
        <v>0</v>
      </c>
      <c r="I750">
        <v>0</v>
      </c>
      <c r="J750" t="b">
        <v>1</v>
      </c>
      <c r="K750" t="s">
        <v>1105</v>
      </c>
      <c r="L750">
        <v>36</v>
      </c>
      <c r="N750" t="s">
        <v>1107</v>
      </c>
      <c r="O750">
        <v>85.5</v>
      </c>
      <c r="P750">
        <v>6.71</v>
      </c>
      <c r="Q750" t="s">
        <v>1110</v>
      </c>
    </row>
    <row r="751" spans="1:17">
      <c r="A751" s="2">
        <v>45884</v>
      </c>
      <c r="B751">
        <v>6</v>
      </c>
      <c r="C751">
        <v>10</v>
      </c>
      <c r="D751" t="s">
        <v>1113</v>
      </c>
      <c r="E751" t="s">
        <v>138</v>
      </c>
      <c r="G751">
        <v>0</v>
      </c>
      <c r="H751">
        <v>0</v>
      </c>
      <c r="I751">
        <v>0</v>
      </c>
      <c r="J751" t="b">
        <v>1</v>
      </c>
      <c r="K751" t="s">
        <v>1105</v>
      </c>
      <c r="L751">
        <v>36</v>
      </c>
      <c r="N751" t="s">
        <v>1107</v>
      </c>
      <c r="O751">
        <v>94</v>
      </c>
      <c r="P751">
        <v>5.36</v>
      </c>
      <c r="Q751" t="s">
        <v>1111</v>
      </c>
    </row>
    <row r="752" spans="1:17">
      <c r="A752" s="2">
        <v>45884</v>
      </c>
      <c r="B752">
        <v>6</v>
      </c>
      <c r="C752">
        <v>11</v>
      </c>
      <c r="D752" t="s">
        <v>1272</v>
      </c>
      <c r="E752" t="s">
        <v>139</v>
      </c>
      <c r="G752">
        <v>0</v>
      </c>
      <c r="H752">
        <v>0</v>
      </c>
      <c r="I752">
        <v>0</v>
      </c>
      <c r="J752" t="b">
        <v>1</v>
      </c>
      <c r="K752" t="s">
        <v>1105</v>
      </c>
      <c r="L752">
        <v>36</v>
      </c>
      <c r="N752" t="s">
        <v>1107</v>
      </c>
      <c r="O752">
        <v>85.2</v>
      </c>
      <c r="P752">
        <v>7.36</v>
      </c>
      <c r="Q752" t="s">
        <v>1110</v>
      </c>
    </row>
    <row r="753" spans="1:17">
      <c r="A753" s="2">
        <v>45884</v>
      </c>
      <c r="B753">
        <v>6</v>
      </c>
      <c r="C753">
        <v>12</v>
      </c>
      <c r="D753" t="s">
        <v>21</v>
      </c>
      <c r="E753" t="s">
        <v>140</v>
      </c>
      <c r="G753">
        <v>0</v>
      </c>
      <c r="H753">
        <v>0</v>
      </c>
      <c r="I753">
        <v>0</v>
      </c>
      <c r="J753" t="b">
        <v>1</v>
      </c>
      <c r="K753" t="s">
        <v>1105</v>
      </c>
      <c r="L753">
        <v>36</v>
      </c>
      <c r="N753" t="s">
        <v>1107</v>
      </c>
      <c r="O753">
        <v>93.9</v>
      </c>
      <c r="P753">
        <v>6.33</v>
      </c>
      <c r="Q753" t="s">
        <v>1111</v>
      </c>
    </row>
    <row r="754" spans="1:17">
      <c r="A754" s="2">
        <v>45884</v>
      </c>
      <c r="B754">
        <v>6</v>
      </c>
      <c r="C754">
        <v>13</v>
      </c>
      <c r="D754" t="s">
        <v>22</v>
      </c>
      <c r="E754" t="s">
        <v>141</v>
      </c>
      <c r="G754">
        <v>0</v>
      </c>
      <c r="H754">
        <v>0</v>
      </c>
      <c r="I754">
        <v>0</v>
      </c>
      <c r="J754" t="b">
        <v>1</v>
      </c>
      <c r="K754" t="s">
        <v>1105</v>
      </c>
      <c r="L754">
        <v>36</v>
      </c>
      <c r="N754" t="s">
        <v>1107</v>
      </c>
      <c r="O754">
        <v>89</v>
      </c>
      <c r="P754">
        <v>5.13</v>
      </c>
      <c r="Q754" t="s">
        <v>1111</v>
      </c>
    </row>
    <row r="755" spans="1:17">
      <c r="A755" s="2">
        <v>45884</v>
      </c>
      <c r="B755">
        <v>6</v>
      </c>
      <c r="C755">
        <v>14</v>
      </c>
      <c r="D755" t="s">
        <v>23</v>
      </c>
      <c r="E755" t="s">
        <v>142</v>
      </c>
      <c r="G755">
        <v>0</v>
      </c>
      <c r="H755">
        <v>0</v>
      </c>
      <c r="I755">
        <v>0</v>
      </c>
      <c r="J755" t="b">
        <v>1</v>
      </c>
      <c r="K755" t="s">
        <v>1105</v>
      </c>
      <c r="L755">
        <v>36</v>
      </c>
      <c r="N755" t="s">
        <v>1107</v>
      </c>
      <c r="O755">
        <v>89.4</v>
      </c>
      <c r="P755">
        <v>6.24</v>
      </c>
      <c r="Q755" t="s">
        <v>1111</v>
      </c>
    </row>
    <row r="756" spans="1:17">
      <c r="A756" s="2">
        <v>45884</v>
      </c>
      <c r="B756">
        <v>6</v>
      </c>
      <c r="C756">
        <v>15</v>
      </c>
      <c r="D756" t="s">
        <v>24</v>
      </c>
      <c r="E756" t="s">
        <v>143</v>
      </c>
      <c r="G756">
        <v>0</v>
      </c>
      <c r="H756">
        <v>0</v>
      </c>
      <c r="I756">
        <v>0</v>
      </c>
      <c r="J756" t="b">
        <v>1</v>
      </c>
      <c r="K756" t="s">
        <v>1105</v>
      </c>
      <c r="L756">
        <v>36</v>
      </c>
      <c r="N756" t="s">
        <v>1107</v>
      </c>
      <c r="O756">
        <v>87.6</v>
      </c>
      <c r="P756">
        <v>5.34</v>
      </c>
      <c r="Q756" t="s">
        <v>1110</v>
      </c>
    </row>
    <row r="757" spans="1:17">
      <c r="A757" s="2">
        <v>45884</v>
      </c>
      <c r="B757">
        <v>6</v>
      </c>
      <c r="C757">
        <v>16</v>
      </c>
      <c r="D757" t="s">
        <v>1273</v>
      </c>
      <c r="E757" t="s">
        <v>144</v>
      </c>
      <c r="G757">
        <v>0</v>
      </c>
      <c r="H757">
        <v>0</v>
      </c>
      <c r="I757">
        <v>0</v>
      </c>
      <c r="J757" t="b">
        <v>1</v>
      </c>
      <c r="K757" t="s">
        <v>1105</v>
      </c>
      <c r="L757">
        <v>36</v>
      </c>
      <c r="N757" t="s">
        <v>1107</v>
      </c>
      <c r="O757">
        <v>86.4</v>
      </c>
      <c r="P757">
        <v>5.77</v>
      </c>
      <c r="Q757" t="s">
        <v>1110</v>
      </c>
    </row>
    <row r="758" spans="1:17">
      <c r="A758" s="2">
        <v>45884</v>
      </c>
      <c r="B758">
        <v>6</v>
      </c>
      <c r="C758">
        <v>17</v>
      </c>
      <c r="D758" t="s">
        <v>25</v>
      </c>
      <c r="E758" t="s">
        <v>145</v>
      </c>
      <c r="G758">
        <v>0</v>
      </c>
      <c r="H758">
        <v>0</v>
      </c>
      <c r="I758">
        <v>0</v>
      </c>
      <c r="J758" t="b">
        <v>1</v>
      </c>
      <c r="K758" t="s">
        <v>1105</v>
      </c>
      <c r="L758">
        <v>36</v>
      </c>
      <c r="N758" t="s">
        <v>1107</v>
      </c>
      <c r="O758">
        <v>89.1</v>
      </c>
      <c r="P758">
        <v>5.51</v>
      </c>
      <c r="Q758" t="s">
        <v>1110</v>
      </c>
    </row>
    <row r="759" spans="1:17">
      <c r="A759" s="2">
        <v>45884</v>
      </c>
      <c r="B759">
        <v>6</v>
      </c>
      <c r="C759">
        <v>18</v>
      </c>
      <c r="D759" t="s">
        <v>26</v>
      </c>
      <c r="E759" t="s">
        <v>146</v>
      </c>
      <c r="G759">
        <v>0</v>
      </c>
      <c r="H759">
        <v>0</v>
      </c>
      <c r="I759">
        <v>0</v>
      </c>
      <c r="J759" t="b">
        <v>1</v>
      </c>
      <c r="K759" t="s">
        <v>1105</v>
      </c>
      <c r="L759">
        <v>36</v>
      </c>
      <c r="N759" t="s">
        <v>1107</v>
      </c>
      <c r="O759">
        <v>85.3</v>
      </c>
      <c r="P759">
        <v>5.18</v>
      </c>
      <c r="Q759" t="s">
        <v>1110</v>
      </c>
    </row>
    <row r="760" spans="1:17">
      <c r="A760" s="2">
        <v>45884</v>
      </c>
      <c r="B760">
        <v>6</v>
      </c>
      <c r="C760">
        <v>19</v>
      </c>
      <c r="D760" t="s">
        <v>27</v>
      </c>
      <c r="E760" t="s">
        <v>147</v>
      </c>
      <c r="G760">
        <v>0</v>
      </c>
      <c r="H760">
        <v>0</v>
      </c>
      <c r="I760">
        <v>0</v>
      </c>
      <c r="J760" t="b">
        <v>1</v>
      </c>
      <c r="K760" t="s">
        <v>1105</v>
      </c>
      <c r="L760">
        <v>36</v>
      </c>
      <c r="N760" t="s">
        <v>1107</v>
      </c>
      <c r="O760">
        <v>89.1</v>
      </c>
      <c r="P760">
        <v>5.97</v>
      </c>
      <c r="Q760" t="s">
        <v>1110</v>
      </c>
    </row>
    <row r="761" spans="1:17">
      <c r="A761" s="2">
        <v>45884</v>
      </c>
      <c r="B761">
        <v>6</v>
      </c>
      <c r="C761">
        <v>20</v>
      </c>
      <c r="D761" t="s">
        <v>28</v>
      </c>
      <c r="E761" t="s">
        <v>148</v>
      </c>
      <c r="G761">
        <v>0</v>
      </c>
      <c r="H761">
        <v>0</v>
      </c>
      <c r="I761">
        <v>0</v>
      </c>
      <c r="J761" t="b">
        <v>1</v>
      </c>
      <c r="K761" t="s">
        <v>1105</v>
      </c>
      <c r="L761">
        <v>36</v>
      </c>
      <c r="N761" t="s">
        <v>1107</v>
      </c>
      <c r="O761">
        <v>86.2</v>
      </c>
      <c r="P761">
        <v>5.61</v>
      </c>
      <c r="Q761" t="s">
        <v>1110</v>
      </c>
    </row>
    <row r="762" spans="1:17">
      <c r="A762" s="2">
        <v>45884</v>
      </c>
      <c r="B762">
        <v>7</v>
      </c>
      <c r="C762">
        <v>1</v>
      </c>
      <c r="D762" t="s">
        <v>17</v>
      </c>
      <c r="E762" t="s">
        <v>149</v>
      </c>
      <c r="F762" t="s">
        <v>831</v>
      </c>
      <c r="G762">
        <v>0</v>
      </c>
      <c r="H762">
        <v>0</v>
      </c>
      <c r="I762">
        <v>0</v>
      </c>
      <c r="J762" t="b">
        <v>0</v>
      </c>
      <c r="L762">
        <v>33</v>
      </c>
      <c r="N762" t="s">
        <v>1107</v>
      </c>
      <c r="O762">
        <v>72.3</v>
      </c>
      <c r="P762">
        <v>7.26</v>
      </c>
      <c r="Q762" t="s">
        <v>1110</v>
      </c>
    </row>
    <row r="763" spans="1:17">
      <c r="A763" s="2">
        <v>45884</v>
      </c>
      <c r="B763">
        <v>7</v>
      </c>
      <c r="C763">
        <v>2</v>
      </c>
      <c r="D763" t="s">
        <v>1269</v>
      </c>
      <c r="E763" t="s">
        <v>150</v>
      </c>
      <c r="F763" t="s">
        <v>832</v>
      </c>
      <c r="G763">
        <v>1</v>
      </c>
      <c r="H763">
        <v>0</v>
      </c>
      <c r="I763">
        <v>1</v>
      </c>
      <c r="J763" t="b">
        <v>0</v>
      </c>
      <c r="L763">
        <v>33</v>
      </c>
      <c r="N763" t="s">
        <v>1107</v>
      </c>
      <c r="O763">
        <v>61.5</v>
      </c>
      <c r="P763">
        <v>6.39</v>
      </c>
      <c r="Q763" t="s">
        <v>1110</v>
      </c>
    </row>
    <row r="764" spans="1:17">
      <c r="A764" s="2">
        <v>45884</v>
      </c>
      <c r="B764">
        <v>7</v>
      </c>
      <c r="C764">
        <v>3</v>
      </c>
      <c r="D764" t="s">
        <v>18</v>
      </c>
      <c r="E764" t="s">
        <v>151</v>
      </c>
      <c r="F764" t="s">
        <v>151</v>
      </c>
      <c r="G764">
        <v>4</v>
      </c>
      <c r="H764">
        <v>1</v>
      </c>
      <c r="I764">
        <v>4</v>
      </c>
      <c r="J764" t="b">
        <v>0</v>
      </c>
      <c r="L764">
        <v>33</v>
      </c>
      <c r="M764">
        <v>8.1</v>
      </c>
      <c r="N764" t="s">
        <v>1107</v>
      </c>
      <c r="O764">
        <v>70.2</v>
      </c>
      <c r="P764">
        <v>5.7</v>
      </c>
      <c r="Q764" t="s">
        <v>1111</v>
      </c>
    </row>
    <row r="765" spans="1:17">
      <c r="A765" s="2">
        <v>45884</v>
      </c>
      <c r="B765">
        <v>7</v>
      </c>
      <c r="C765">
        <v>4</v>
      </c>
      <c r="D765" t="s">
        <v>19</v>
      </c>
      <c r="E765" t="s">
        <v>152</v>
      </c>
      <c r="F765" t="s">
        <v>718</v>
      </c>
      <c r="G765">
        <v>1</v>
      </c>
      <c r="H765">
        <v>0</v>
      </c>
      <c r="I765">
        <v>5</v>
      </c>
      <c r="J765" t="b">
        <v>0</v>
      </c>
      <c r="L765">
        <v>33</v>
      </c>
      <c r="N765" t="s">
        <v>1107</v>
      </c>
      <c r="O765">
        <v>84.1</v>
      </c>
      <c r="P765">
        <v>7.03</v>
      </c>
      <c r="Q765" t="s">
        <v>1110</v>
      </c>
    </row>
    <row r="766" spans="1:17">
      <c r="A766" s="2">
        <v>45884</v>
      </c>
      <c r="B766">
        <v>7</v>
      </c>
      <c r="C766">
        <v>5</v>
      </c>
      <c r="D766" t="s">
        <v>1115</v>
      </c>
      <c r="E766" t="s">
        <v>153</v>
      </c>
      <c r="F766" t="s">
        <v>833</v>
      </c>
      <c r="G766">
        <v>4</v>
      </c>
      <c r="H766">
        <v>3</v>
      </c>
      <c r="I766">
        <v>6</v>
      </c>
      <c r="J766" t="b">
        <v>0</v>
      </c>
      <c r="L766">
        <v>33</v>
      </c>
      <c r="M766">
        <v>8</v>
      </c>
      <c r="N766" t="s">
        <v>1107</v>
      </c>
      <c r="O766">
        <v>79.599999999999994</v>
      </c>
      <c r="P766">
        <v>5.91</v>
      </c>
      <c r="Q766" t="s">
        <v>1110</v>
      </c>
    </row>
    <row r="767" spans="1:17">
      <c r="A767" s="2">
        <v>45884</v>
      </c>
      <c r="B767">
        <v>7</v>
      </c>
      <c r="C767">
        <v>6</v>
      </c>
      <c r="D767" t="s">
        <v>1270</v>
      </c>
      <c r="E767" t="s">
        <v>154</v>
      </c>
      <c r="F767" t="s">
        <v>834</v>
      </c>
      <c r="G767">
        <v>4</v>
      </c>
      <c r="H767">
        <v>4</v>
      </c>
      <c r="I767">
        <v>6</v>
      </c>
      <c r="J767" t="b">
        <v>0</v>
      </c>
      <c r="L767">
        <v>33</v>
      </c>
      <c r="N767" t="s">
        <v>1107</v>
      </c>
      <c r="O767">
        <v>75.900000000000006</v>
      </c>
      <c r="P767">
        <v>5.61</v>
      </c>
      <c r="Q767" t="s">
        <v>1112</v>
      </c>
    </row>
    <row r="768" spans="1:17">
      <c r="A768" s="2">
        <v>45884</v>
      </c>
      <c r="B768">
        <v>7</v>
      </c>
      <c r="C768">
        <v>7</v>
      </c>
      <c r="D768" t="s">
        <v>1114</v>
      </c>
      <c r="E768" t="s">
        <v>155</v>
      </c>
      <c r="F768" t="s">
        <v>835</v>
      </c>
      <c r="G768">
        <v>2</v>
      </c>
      <c r="H768">
        <v>4</v>
      </c>
      <c r="I768">
        <v>4</v>
      </c>
      <c r="J768" t="b">
        <v>0</v>
      </c>
      <c r="L768">
        <v>33</v>
      </c>
      <c r="M768">
        <v>7.6</v>
      </c>
      <c r="N768" t="s">
        <v>1107</v>
      </c>
      <c r="O768">
        <v>84.6</v>
      </c>
      <c r="P768">
        <v>7.35</v>
      </c>
      <c r="Q768" t="s">
        <v>1110</v>
      </c>
    </row>
    <row r="769" spans="1:17">
      <c r="A769" s="2">
        <v>45884</v>
      </c>
      <c r="B769">
        <v>7</v>
      </c>
      <c r="C769">
        <v>8</v>
      </c>
      <c r="D769" t="s">
        <v>1271</v>
      </c>
      <c r="E769" t="s">
        <v>156</v>
      </c>
      <c r="F769" t="s">
        <v>836</v>
      </c>
      <c r="G769">
        <v>5</v>
      </c>
      <c r="H769">
        <v>4</v>
      </c>
      <c r="I769">
        <v>5</v>
      </c>
      <c r="J769" t="b">
        <v>0</v>
      </c>
      <c r="L769">
        <v>33</v>
      </c>
      <c r="M769">
        <v>7.5</v>
      </c>
      <c r="N769" t="s">
        <v>1107</v>
      </c>
      <c r="O769">
        <v>82.8</v>
      </c>
      <c r="P769">
        <v>6.36</v>
      </c>
      <c r="Q769" t="s">
        <v>1110</v>
      </c>
    </row>
    <row r="770" spans="1:17">
      <c r="A770" s="2">
        <v>45884</v>
      </c>
      <c r="B770">
        <v>7</v>
      </c>
      <c r="C770">
        <v>9</v>
      </c>
      <c r="D770" t="s">
        <v>20</v>
      </c>
      <c r="E770" t="s">
        <v>157</v>
      </c>
      <c r="F770" t="s">
        <v>837</v>
      </c>
      <c r="G770">
        <v>2</v>
      </c>
      <c r="H770">
        <v>4</v>
      </c>
      <c r="I770">
        <v>3</v>
      </c>
      <c r="J770" t="b">
        <v>0</v>
      </c>
      <c r="L770">
        <v>33</v>
      </c>
      <c r="M770">
        <v>7.4</v>
      </c>
      <c r="N770" t="s">
        <v>1107</v>
      </c>
      <c r="O770">
        <v>80.7</v>
      </c>
      <c r="P770">
        <v>5.87</v>
      </c>
      <c r="Q770" t="s">
        <v>1112</v>
      </c>
    </row>
    <row r="771" spans="1:17">
      <c r="A771" s="2">
        <v>45884</v>
      </c>
      <c r="B771">
        <v>7</v>
      </c>
      <c r="C771">
        <v>10</v>
      </c>
      <c r="D771" t="s">
        <v>1113</v>
      </c>
      <c r="E771" t="s">
        <v>158</v>
      </c>
      <c r="F771" t="s">
        <v>158</v>
      </c>
      <c r="G771">
        <v>5</v>
      </c>
      <c r="H771">
        <v>3</v>
      </c>
      <c r="I771">
        <v>5</v>
      </c>
      <c r="J771" t="b">
        <v>0</v>
      </c>
      <c r="L771">
        <v>33</v>
      </c>
      <c r="M771">
        <v>8.1</v>
      </c>
      <c r="N771" t="s">
        <v>1107</v>
      </c>
      <c r="O771">
        <v>83.3</v>
      </c>
      <c r="P771">
        <v>6.45</v>
      </c>
      <c r="Q771" t="s">
        <v>1110</v>
      </c>
    </row>
    <row r="772" spans="1:17">
      <c r="A772" s="2">
        <v>45884</v>
      </c>
      <c r="B772">
        <v>7</v>
      </c>
      <c r="C772">
        <v>11</v>
      </c>
      <c r="D772" t="s">
        <v>1272</v>
      </c>
      <c r="E772" t="s">
        <v>159</v>
      </c>
      <c r="F772" t="s">
        <v>838</v>
      </c>
      <c r="G772">
        <v>0</v>
      </c>
      <c r="H772">
        <v>3</v>
      </c>
      <c r="I772">
        <v>2</v>
      </c>
      <c r="J772" t="b">
        <v>0</v>
      </c>
      <c r="L772">
        <v>33</v>
      </c>
      <c r="M772">
        <v>7.9</v>
      </c>
      <c r="N772" t="s">
        <v>1107</v>
      </c>
      <c r="O772">
        <v>69.5</v>
      </c>
      <c r="P772">
        <v>6.05</v>
      </c>
      <c r="Q772" t="s">
        <v>1110</v>
      </c>
    </row>
    <row r="773" spans="1:17">
      <c r="A773" s="2">
        <v>45884</v>
      </c>
      <c r="B773">
        <v>7</v>
      </c>
      <c r="C773">
        <v>12</v>
      </c>
      <c r="D773" t="s">
        <v>21</v>
      </c>
      <c r="E773" t="s">
        <v>160</v>
      </c>
      <c r="F773" t="s">
        <v>839</v>
      </c>
      <c r="G773">
        <v>0</v>
      </c>
      <c r="H773">
        <v>2</v>
      </c>
      <c r="I773">
        <v>0</v>
      </c>
      <c r="J773" t="b">
        <v>0</v>
      </c>
      <c r="L773">
        <v>33</v>
      </c>
      <c r="M773">
        <v>7.7</v>
      </c>
      <c r="N773" t="s">
        <v>1107</v>
      </c>
      <c r="O773">
        <v>72.8</v>
      </c>
      <c r="P773">
        <v>5.14</v>
      </c>
      <c r="Q773" t="s">
        <v>1110</v>
      </c>
    </row>
    <row r="774" spans="1:17">
      <c r="A774" s="2">
        <v>45884</v>
      </c>
      <c r="B774">
        <v>7</v>
      </c>
      <c r="C774">
        <v>13</v>
      </c>
      <c r="D774" t="s">
        <v>22</v>
      </c>
      <c r="E774" t="s">
        <v>161</v>
      </c>
      <c r="F774" t="s">
        <v>840</v>
      </c>
      <c r="G774">
        <v>5</v>
      </c>
      <c r="H774">
        <v>0</v>
      </c>
      <c r="I774">
        <v>5</v>
      </c>
      <c r="J774" t="b">
        <v>0</v>
      </c>
      <c r="L774">
        <v>33</v>
      </c>
      <c r="N774" t="s">
        <v>1107</v>
      </c>
      <c r="O774">
        <v>67.5</v>
      </c>
      <c r="P774">
        <v>6.19</v>
      </c>
      <c r="Q774" t="s">
        <v>1110</v>
      </c>
    </row>
    <row r="775" spans="1:17">
      <c r="A775" s="2">
        <v>45884</v>
      </c>
      <c r="B775">
        <v>7</v>
      </c>
      <c r="C775">
        <v>14</v>
      </c>
      <c r="D775" t="s">
        <v>23</v>
      </c>
      <c r="E775" t="s">
        <v>162</v>
      </c>
      <c r="F775" t="s">
        <v>841</v>
      </c>
      <c r="G775">
        <v>0</v>
      </c>
      <c r="H775">
        <v>5</v>
      </c>
      <c r="I775">
        <v>0</v>
      </c>
      <c r="J775" t="b">
        <v>0</v>
      </c>
      <c r="L775">
        <v>33</v>
      </c>
      <c r="M775">
        <v>6.7</v>
      </c>
      <c r="N775" t="s">
        <v>1107</v>
      </c>
      <c r="O775">
        <v>73.900000000000006</v>
      </c>
      <c r="P775">
        <v>5.84</v>
      </c>
      <c r="Q775" t="s">
        <v>1110</v>
      </c>
    </row>
    <row r="776" spans="1:17">
      <c r="A776" s="2">
        <v>45884</v>
      </c>
      <c r="B776">
        <v>7</v>
      </c>
      <c r="C776">
        <v>15</v>
      </c>
      <c r="D776" t="s">
        <v>24</v>
      </c>
      <c r="E776" t="s">
        <v>163</v>
      </c>
      <c r="F776" t="s">
        <v>842</v>
      </c>
      <c r="G776">
        <v>5</v>
      </c>
      <c r="H776">
        <v>0</v>
      </c>
      <c r="I776">
        <v>5</v>
      </c>
      <c r="J776" t="b">
        <v>0</v>
      </c>
      <c r="L776">
        <v>33</v>
      </c>
      <c r="N776" t="s">
        <v>1107</v>
      </c>
      <c r="O776">
        <v>83.9</v>
      </c>
      <c r="P776">
        <v>5.95</v>
      </c>
      <c r="Q776" t="s">
        <v>1110</v>
      </c>
    </row>
    <row r="777" spans="1:17">
      <c r="A777" s="2">
        <v>45884</v>
      </c>
      <c r="B777">
        <v>7</v>
      </c>
      <c r="C777">
        <v>16</v>
      </c>
      <c r="D777" t="s">
        <v>1273</v>
      </c>
      <c r="E777" t="s">
        <v>164</v>
      </c>
      <c r="F777" t="s">
        <v>843</v>
      </c>
      <c r="G777">
        <v>4</v>
      </c>
      <c r="H777">
        <v>4</v>
      </c>
      <c r="I777">
        <v>5</v>
      </c>
      <c r="J777" t="b">
        <v>0</v>
      </c>
      <c r="L777">
        <v>33</v>
      </c>
      <c r="M777">
        <v>6.9</v>
      </c>
      <c r="N777" t="s">
        <v>1107</v>
      </c>
      <c r="O777">
        <v>66.5</v>
      </c>
      <c r="P777">
        <v>7.26</v>
      </c>
      <c r="Q777" t="s">
        <v>1110</v>
      </c>
    </row>
    <row r="778" spans="1:17">
      <c r="A778" s="2">
        <v>45884</v>
      </c>
      <c r="B778">
        <v>7</v>
      </c>
      <c r="C778">
        <v>17</v>
      </c>
      <c r="D778" t="s">
        <v>25</v>
      </c>
      <c r="E778" t="s">
        <v>165</v>
      </c>
      <c r="F778" t="s">
        <v>844</v>
      </c>
      <c r="G778">
        <v>4</v>
      </c>
      <c r="H778">
        <v>0</v>
      </c>
      <c r="I778">
        <v>9</v>
      </c>
      <c r="J778" t="b">
        <v>0</v>
      </c>
      <c r="K778" t="s">
        <v>1104</v>
      </c>
      <c r="L778">
        <v>33</v>
      </c>
      <c r="N778" t="s">
        <v>1107</v>
      </c>
      <c r="O778">
        <v>84.6</v>
      </c>
      <c r="P778">
        <v>6.02</v>
      </c>
      <c r="Q778" t="s">
        <v>1110</v>
      </c>
    </row>
    <row r="779" spans="1:17">
      <c r="A779" s="2">
        <v>45884</v>
      </c>
      <c r="B779">
        <v>7</v>
      </c>
      <c r="C779">
        <v>18</v>
      </c>
      <c r="D779" t="s">
        <v>26</v>
      </c>
      <c r="E779" t="s">
        <v>166</v>
      </c>
      <c r="F779" t="s">
        <v>845</v>
      </c>
      <c r="G779">
        <v>5</v>
      </c>
      <c r="H779">
        <v>4</v>
      </c>
      <c r="I779">
        <v>10</v>
      </c>
      <c r="J779" t="b">
        <v>0</v>
      </c>
      <c r="K779" t="s">
        <v>1104</v>
      </c>
      <c r="L779">
        <v>33</v>
      </c>
      <c r="M779">
        <v>4.0999999999999996</v>
      </c>
      <c r="N779" t="s">
        <v>1107</v>
      </c>
      <c r="O779">
        <v>60.4</v>
      </c>
      <c r="P779">
        <v>7.08</v>
      </c>
      <c r="Q779" t="s">
        <v>1110</v>
      </c>
    </row>
    <row r="780" spans="1:17">
      <c r="A780" s="2">
        <v>45884</v>
      </c>
      <c r="B780">
        <v>7</v>
      </c>
      <c r="C780">
        <v>19</v>
      </c>
      <c r="D780" t="s">
        <v>27</v>
      </c>
      <c r="E780" t="s">
        <v>167</v>
      </c>
      <c r="F780" t="s">
        <v>846</v>
      </c>
      <c r="G780">
        <v>1</v>
      </c>
      <c r="H780">
        <v>3</v>
      </c>
      <c r="I780">
        <v>8</v>
      </c>
      <c r="J780" t="b">
        <v>0</v>
      </c>
      <c r="K780" t="s">
        <v>1104</v>
      </c>
      <c r="L780">
        <v>33</v>
      </c>
      <c r="M780">
        <v>4.4000000000000004</v>
      </c>
      <c r="N780" t="s">
        <v>1107</v>
      </c>
      <c r="O780">
        <v>71.900000000000006</v>
      </c>
      <c r="P780">
        <v>7.7</v>
      </c>
      <c r="Q780" t="s">
        <v>1110</v>
      </c>
    </row>
    <row r="781" spans="1:17">
      <c r="A781" s="2">
        <v>45884</v>
      </c>
      <c r="B781">
        <v>7</v>
      </c>
      <c r="C781">
        <v>20</v>
      </c>
      <c r="D781" t="s">
        <v>28</v>
      </c>
      <c r="E781" t="s">
        <v>168</v>
      </c>
      <c r="F781" t="s">
        <v>847</v>
      </c>
      <c r="G781">
        <v>0</v>
      </c>
      <c r="H781">
        <v>1</v>
      </c>
      <c r="I781">
        <v>7</v>
      </c>
      <c r="J781" t="b">
        <v>0</v>
      </c>
      <c r="K781" t="s">
        <v>1104</v>
      </c>
      <c r="L781">
        <v>33</v>
      </c>
      <c r="M781">
        <v>4.0999999999999996</v>
      </c>
      <c r="N781" t="s">
        <v>1107</v>
      </c>
      <c r="O781">
        <v>82.4</v>
      </c>
      <c r="P781">
        <v>7.11</v>
      </c>
      <c r="Q781" t="s">
        <v>1110</v>
      </c>
    </row>
    <row r="782" spans="1:17">
      <c r="A782" s="2">
        <v>45884</v>
      </c>
      <c r="B782">
        <v>8</v>
      </c>
      <c r="C782">
        <v>1</v>
      </c>
      <c r="D782" t="s">
        <v>17</v>
      </c>
      <c r="E782" t="s">
        <v>169</v>
      </c>
      <c r="F782" t="s">
        <v>733</v>
      </c>
      <c r="G782">
        <v>0</v>
      </c>
      <c r="H782">
        <v>0</v>
      </c>
      <c r="I782">
        <v>0</v>
      </c>
      <c r="J782" t="b">
        <v>0</v>
      </c>
      <c r="L782">
        <v>36</v>
      </c>
      <c r="N782" t="s">
        <v>1107</v>
      </c>
      <c r="O782">
        <v>79.7</v>
      </c>
      <c r="P782">
        <v>6.95</v>
      </c>
      <c r="Q782" t="s">
        <v>1110</v>
      </c>
    </row>
    <row r="783" spans="1:17">
      <c r="A783" s="2">
        <v>45884</v>
      </c>
      <c r="B783">
        <v>8</v>
      </c>
      <c r="C783">
        <v>2</v>
      </c>
      <c r="D783" t="s">
        <v>1269</v>
      </c>
      <c r="E783" t="s">
        <v>170</v>
      </c>
      <c r="F783" t="s">
        <v>848</v>
      </c>
      <c r="G783">
        <v>0</v>
      </c>
      <c r="H783">
        <v>0</v>
      </c>
      <c r="I783">
        <v>0</v>
      </c>
      <c r="J783" t="b">
        <v>0</v>
      </c>
      <c r="L783">
        <v>36</v>
      </c>
      <c r="N783" t="s">
        <v>1107</v>
      </c>
      <c r="O783">
        <v>80.8</v>
      </c>
      <c r="P783">
        <v>7.01</v>
      </c>
      <c r="Q783" t="s">
        <v>1110</v>
      </c>
    </row>
    <row r="784" spans="1:17">
      <c r="A784" s="2">
        <v>45884</v>
      </c>
      <c r="B784">
        <v>8</v>
      </c>
      <c r="C784">
        <v>3</v>
      </c>
      <c r="D784" t="s">
        <v>18</v>
      </c>
      <c r="E784" t="s">
        <v>171</v>
      </c>
      <c r="F784" t="s">
        <v>849</v>
      </c>
      <c r="G784">
        <v>1</v>
      </c>
      <c r="H784">
        <v>0</v>
      </c>
      <c r="I784">
        <v>1</v>
      </c>
      <c r="J784" t="b">
        <v>0</v>
      </c>
      <c r="L784">
        <v>36</v>
      </c>
      <c r="N784" t="s">
        <v>1107</v>
      </c>
      <c r="O784">
        <v>80.3</v>
      </c>
      <c r="P784">
        <v>7.48</v>
      </c>
      <c r="Q784" t="s">
        <v>1110</v>
      </c>
    </row>
    <row r="785" spans="1:17">
      <c r="A785" s="2">
        <v>45884</v>
      </c>
      <c r="B785">
        <v>8</v>
      </c>
      <c r="C785">
        <v>4</v>
      </c>
      <c r="D785" t="s">
        <v>19</v>
      </c>
      <c r="E785" t="s">
        <v>172</v>
      </c>
      <c r="F785" t="s">
        <v>850</v>
      </c>
      <c r="G785">
        <v>3</v>
      </c>
      <c r="H785">
        <v>0</v>
      </c>
      <c r="I785">
        <v>4</v>
      </c>
      <c r="J785" t="b">
        <v>0</v>
      </c>
      <c r="L785">
        <v>36</v>
      </c>
      <c r="N785" t="s">
        <v>1107</v>
      </c>
      <c r="O785">
        <v>79.2</v>
      </c>
      <c r="P785">
        <v>7.09</v>
      </c>
      <c r="Q785" t="s">
        <v>1110</v>
      </c>
    </row>
    <row r="786" spans="1:17">
      <c r="A786" s="2">
        <v>45884</v>
      </c>
      <c r="B786">
        <v>8</v>
      </c>
      <c r="C786">
        <v>5</v>
      </c>
      <c r="D786" t="s">
        <v>1115</v>
      </c>
      <c r="E786" t="s">
        <v>173</v>
      </c>
      <c r="F786" t="s">
        <v>173</v>
      </c>
      <c r="G786">
        <v>3</v>
      </c>
      <c r="H786">
        <v>4</v>
      </c>
      <c r="I786">
        <v>3</v>
      </c>
      <c r="J786" t="b">
        <v>0</v>
      </c>
      <c r="L786">
        <v>36</v>
      </c>
      <c r="M786">
        <v>10</v>
      </c>
      <c r="N786" t="s">
        <v>1107</v>
      </c>
      <c r="O786">
        <v>83.4</v>
      </c>
      <c r="P786">
        <v>6.33</v>
      </c>
      <c r="Q786" t="s">
        <v>1110</v>
      </c>
    </row>
    <row r="787" spans="1:17">
      <c r="A787" s="2">
        <v>45884</v>
      </c>
      <c r="B787">
        <v>8</v>
      </c>
      <c r="C787">
        <v>6</v>
      </c>
      <c r="D787" t="s">
        <v>1270</v>
      </c>
      <c r="E787" t="s">
        <v>174</v>
      </c>
      <c r="F787" t="s">
        <v>319</v>
      </c>
      <c r="G787">
        <v>5</v>
      </c>
      <c r="H787">
        <v>0</v>
      </c>
      <c r="I787">
        <v>8</v>
      </c>
      <c r="J787" t="b">
        <v>0</v>
      </c>
      <c r="L787">
        <v>36</v>
      </c>
      <c r="N787" t="s">
        <v>1107</v>
      </c>
      <c r="O787">
        <v>67</v>
      </c>
      <c r="P787">
        <v>7.76</v>
      </c>
      <c r="Q787" t="s">
        <v>1110</v>
      </c>
    </row>
    <row r="788" spans="1:17">
      <c r="A788" s="2">
        <v>45884</v>
      </c>
      <c r="B788">
        <v>8</v>
      </c>
      <c r="C788">
        <v>7</v>
      </c>
      <c r="D788" t="s">
        <v>1114</v>
      </c>
      <c r="E788" t="s">
        <v>175</v>
      </c>
      <c r="F788" t="s">
        <v>851</v>
      </c>
      <c r="G788">
        <v>4</v>
      </c>
      <c r="H788">
        <v>1</v>
      </c>
      <c r="I788">
        <v>11</v>
      </c>
      <c r="J788" t="b">
        <v>0</v>
      </c>
      <c r="L788">
        <v>36</v>
      </c>
      <c r="M788">
        <v>9</v>
      </c>
      <c r="N788" t="s">
        <v>1107</v>
      </c>
      <c r="O788">
        <v>75.3</v>
      </c>
      <c r="P788">
        <v>5.91</v>
      </c>
      <c r="Q788" t="s">
        <v>1110</v>
      </c>
    </row>
    <row r="789" spans="1:17">
      <c r="A789" s="2">
        <v>45884</v>
      </c>
      <c r="B789">
        <v>8</v>
      </c>
      <c r="C789">
        <v>8</v>
      </c>
      <c r="D789" t="s">
        <v>1271</v>
      </c>
      <c r="E789" t="s">
        <v>176</v>
      </c>
      <c r="F789" t="s">
        <v>852</v>
      </c>
      <c r="G789">
        <v>3</v>
      </c>
      <c r="H789">
        <v>5</v>
      </c>
      <c r="I789">
        <v>9</v>
      </c>
      <c r="J789" t="b">
        <v>0</v>
      </c>
      <c r="L789">
        <v>36</v>
      </c>
      <c r="M789" t="s">
        <v>1208</v>
      </c>
      <c r="N789" t="s">
        <v>1107</v>
      </c>
      <c r="O789">
        <v>72.3</v>
      </c>
      <c r="P789">
        <v>6.09</v>
      </c>
      <c r="Q789" t="s">
        <v>1110</v>
      </c>
    </row>
    <row r="790" spans="1:17">
      <c r="A790" s="2">
        <v>45884</v>
      </c>
      <c r="B790">
        <v>8</v>
      </c>
      <c r="C790">
        <v>9</v>
      </c>
      <c r="D790" t="s">
        <v>20</v>
      </c>
      <c r="E790" t="s">
        <v>177</v>
      </c>
      <c r="F790" t="s">
        <v>853</v>
      </c>
      <c r="G790">
        <v>1</v>
      </c>
      <c r="H790">
        <v>2</v>
      </c>
      <c r="I790">
        <v>8</v>
      </c>
      <c r="J790" t="b">
        <v>0</v>
      </c>
      <c r="L790">
        <v>36</v>
      </c>
      <c r="M790" t="s">
        <v>1219</v>
      </c>
      <c r="N790" t="s">
        <v>1108</v>
      </c>
      <c r="O790">
        <v>77.7</v>
      </c>
      <c r="P790">
        <v>5.63</v>
      </c>
      <c r="Q790" t="s">
        <v>1110</v>
      </c>
    </row>
    <row r="791" spans="1:17">
      <c r="A791" s="2">
        <v>45884</v>
      </c>
      <c r="B791">
        <v>8</v>
      </c>
      <c r="C791">
        <v>10</v>
      </c>
      <c r="D791" t="s">
        <v>1113</v>
      </c>
      <c r="E791" t="s">
        <v>178</v>
      </c>
      <c r="F791" t="s">
        <v>854</v>
      </c>
      <c r="G791">
        <v>2</v>
      </c>
      <c r="H791">
        <v>4</v>
      </c>
      <c r="I791">
        <v>6</v>
      </c>
      <c r="J791" t="b">
        <v>0</v>
      </c>
      <c r="L791">
        <v>36</v>
      </c>
      <c r="M791" t="s">
        <v>1205</v>
      </c>
      <c r="N791" t="s">
        <v>1107</v>
      </c>
      <c r="O791">
        <v>69.900000000000006</v>
      </c>
      <c r="P791">
        <v>7.61</v>
      </c>
      <c r="Q791" t="s">
        <v>1110</v>
      </c>
    </row>
    <row r="792" spans="1:17">
      <c r="A792" s="2">
        <v>45884</v>
      </c>
      <c r="B792">
        <v>8</v>
      </c>
      <c r="C792">
        <v>11</v>
      </c>
      <c r="D792" t="s">
        <v>1272</v>
      </c>
      <c r="E792" t="s">
        <v>179</v>
      </c>
      <c r="F792" t="s">
        <v>855</v>
      </c>
      <c r="G792">
        <v>5</v>
      </c>
      <c r="H792">
        <v>5</v>
      </c>
      <c r="I792">
        <v>6</v>
      </c>
      <c r="J792" t="b">
        <v>0</v>
      </c>
      <c r="L792">
        <v>36</v>
      </c>
      <c r="M792">
        <v>10</v>
      </c>
      <c r="N792" t="s">
        <v>1107</v>
      </c>
      <c r="O792">
        <v>73.8</v>
      </c>
      <c r="P792">
        <v>6.98</v>
      </c>
      <c r="Q792" t="s">
        <v>1110</v>
      </c>
    </row>
    <row r="793" spans="1:17">
      <c r="A793" s="2">
        <v>45884</v>
      </c>
      <c r="B793">
        <v>8</v>
      </c>
      <c r="C793">
        <v>12</v>
      </c>
      <c r="D793" t="s">
        <v>21</v>
      </c>
      <c r="E793" t="s">
        <v>180</v>
      </c>
      <c r="F793" t="s">
        <v>325</v>
      </c>
      <c r="G793">
        <v>2</v>
      </c>
      <c r="H793">
        <v>5</v>
      </c>
      <c r="I793">
        <v>3</v>
      </c>
      <c r="J793" t="b">
        <v>0</v>
      </c>
      <c r="L793">
        <v>36</v>
      </c>
      <c r="M793" t="s">
        <v>1207</v>
      </c>
      <c r="N793" t="s">
        <v>1107</v>
      </c>
      <c r="O793">
        <v>74.099999999999994</v>
      </c>
      <c r="P793">
        <v>5.2</v>
      </c>
      <c r="Q793" t="s">
        <v>1110</v>
      </c>
    </row>
    <row r="794" spans="1:17">
      <c r="A794" s="2">
        <v>45884</v>
      </c>
      <c r="B794">
        <v>8</v>
      </c>
      <c r="C794">
        <v>13</v>
      </c>
      <c r="D794" t="s">
        <v>22</v>
      </c>
      <c r="E794" t="s">
        <v>181</v>
      </c>
      <c r="F794" t="s">
        <v>856</v>
      </c>
      <c r="G794">
        <v>1</v>
      </c>
      <c r="H794">
        <v>1</v>
      </c>
      <c r="I794">
        <v>3</v>
      </c>
      <c r="J794" t="b">
        <v>0</v>
      </c>
      <c r="L794">
        <v>36</v>
      </c>
      <c r="M794" t="s">
        <v>1208</v>
      </c>
      <c r="N794" t="s">
        <v>1107</v>
      </c>
      <c r="O794">
        <v>66.5</v>
      </c>
      <c r="P794">
        <v>6.71</v>
      </c>
      <c r="Q794" t="s">
        <v>1110</v>
      </c>
    </row>
    <row r="795" spans="1:17">
      <c r="A795" s="2">
        <v>45884</v>
      </c>
      <c r="B795">
        <v>8</v>
      </c>
      <c r="C795">
        <v>14</v>
      </c>
      <c r="D795" t="s">
        <v>23</v>
      </c>
      <c r="E795" t="s">
        <v>182</v>
      </c>
      <c r="F795" t="s">
        <v>857</v>
      </c>
      <c r="G795">
        <v>1</v>
      </c>
      <c r="H795">
        <v>2</v>
      </c>
      <c r="I795">
        <v>2</v>
      </c>
      <c r="J795" t="b">
        <v>0</v>
      </c>
      <c r="L795">
        <v>36</v>
      </c>
      <c r="M795" t="s">
        <v>1214</v>
      </c>
      <c r="N795" t="s">
        <v>1107</v>
      </c>
      <c r="O795">
        <v>79.599999999999994</v>
      </c>
      <c r="P795">
        <v>5.58</v>
      </c>
      <c r="Q795" t="s">
        <v>1110</v>
      </c>
    </row>
    <row r="796" spans="1:17">
      <c r="A796" s="2">
        <v>45884</v>
      </c>
      <c r="B796">
        <v>8</v>
      </c>
      <c r="C796">
        <v>15</v>
      </c>
      <c r="D796" t="s">
        <v>24</v>
      </c>
      <c r="E796" t="s">
        <v>183</v>
      </c>
      <c r="F796" t="s">
        <v>858</v>
      </c>
      <c r="G796">
        <v>2</v>
      </c>
      <c r="H796">
        <v>1</v>
      </c>
      <c r="I796">
        <v>3</v>
      </c>
      <c r="J796" t="b">
        <v>0</v>
      </c>
      <c r="L796">
        <v>36</v>
      </c>
      <c r="M796" t="s">
        <v>1226</v>
      </c>
      <c r="N796" t="s">
        <v>1106</v>
      </c>
      <c r="O796">
        <v>77.3</v>
      </c>
      <c r="P796">
        <v>6.6</v>
      </c>
      <c r="Q796" t="s">
        <v>1110</v>
      </c>
    </row>
    <row r="797" spans="1:17">
      <c r="A797" s="2">
        <v>45884</v>
      </c>
      <c r="B797">
        <v>8</v>
      </c>
      <c r="C797">
        <v>16</v>
      </c>
      <c r="D797" t="s">
        <v>1273</v>
      </c>
      <c r="E797" t="s">
        <v>184</v>
      </c>
      <c r="F797" t="s">
        <v>859</v>
      </c>
      <c r="G797">
        <v>2</v>
      </c>
      <c r="H797">
        <v>3</v>
      </c>
      <c r="I797">
        <v>2</v>
      </c>
      <c r="J797" t="b">
        <v>0</v>
      </c>
      <c r="L797">
        <v>36</v>
      </c>
      <c r="M797" t="s">
        <v>1227</v>
      </c>
      <c r="N797" t="s">
        <v>1107</v>
      </c>
      <c r="O797">
        <v>71.3</v>
      </c>
      <c r="P797">
        <v>7.81</v>
      </c>
      <c r="Q797" t="s">
        <v>1110</v>
      </c>
    </row>
    <row r="798" spans="1:17">
      <c r="A798" s="2">
        <v>45884</v>
      </c>
      <c r="B798">
        <v>8</v>
      </c>
      <c r="C798">
        <v>17</v>
      </c>
      <c r="D798" t="s">
        <v>25</v>
      </c>
      <c r="E798" t="s">
        <v>185</v>
      </c>
      <c r="F798" t="s">
        <v>860</v>
      </c>
      <c r="G798">
        <v>5</v>
      </c>
      <c r="H798">
        <v>2</v>
      </c>
      <c r="I798">
        <v>5</v>
      </c>
      <c r="J798" t="b">
        <v>0</v>
      </c>
      <c r="K798" t="s">
        <v>1104</v>
      </c>
      <c r="L798">
        <v>36</v>
      </c>
      <c r="M798">
        <v>5</v>
      </c>
      <c r="N798" t="s">
        <v>1108</v>
      </c>
      <c r="O798">
        <v>61.3</v>
      </c>
      <c r="P798">
        <v>7.82</v>
      </c>
      <c r="Q798" t="s">
        <v>1110</v>
      </c>
    </row>
    <row r="799" spans="1:17">
      <c r="A799" s="2">
        <v>45884</v>
      </c>
      <c r="B799">
        <v>8</v>
      </c>
      <c r="C799">
        <v>18</v>
      </c>
      <c r="D799" t="s">
        <v>26</v>
      </c>
      <c r="E799" t="s">
        <v>186</v>
      </c>
      <c r="F799" t="s">
        <v>861</v>
      </c>
      <c r="G799">
        <v>4</v>
      </c>
      <c r="H799">
        <v>0</v>
      </c>
      <c r="I799">
        <v>9</v>
      </c>
      <c r="J799" t="b">
        <v>0</v>
      </c>
      <c r="K799" t="s">
        <v>1104</v>
      </c>
      <c r="L799">
        <v>36</v>
      </c>
      <c r="N799" t="s">
        <v>1106</v>
      </c>
      <c r="O799">
        <v>66.900000000000006</v>
      </c>
      <c r="P799">
        <v>7.04</v>
      </c>
      <c r="Q799" t="s">
        <v>1110</v>
      </c>
    </row>
    <row r="800" spans="1:17">
      <c r="A800" s="2">
        <v>45884</v>
      </c>
      <c r="B800">
        <v>8</v>
      </c>
      <c r="C800">
        <v>19</v>
      </c>
      <c r="D800" t="s">
        <v>27</v>
      </c>
      <c r="E800" t="s">
        <v>187</v>
      </c>
      <c r="F800" t="s">
        <v>862</v>
      </c>
      <c r="G800">
        <v>3</v>
      </c>
      <c r="H800">
        <v>3</v>
      </c>
      <c r="I800">
        <v>9</v>
      </c>
      <c r="J800" t="b">
        <v>0</v>
      </c>
      <c r="K800" t="s">
        <v>1104</v>
      </c>
      <c r="L800">
        <v>36</v>
      </c>
      <c r="M800">
        <v>5</v>
      </c>
      <c r="N800" t="s">
        <v>1107</v>
      </c>
      <c r="O800">
        <v>79</v>
      </c>
      <c r="P800">
        <v>7.65</v>
      </c>
      <c r="Q800" t="s">
        <v>1110</v>
      </c>
    </row>
    <row r="801" spans="1:17">
      <c r="A801" s="2">
        <v>45884</v>
      </c>
      <c r="B801">
        <v>8</v>
      </c>
      <c r="C801">
        <v>20</v>
      </c>
      <c r="D801" t="s">
        <v>28</v>
      </c>
      <c r="E801" t="s">
        <v>188</v>
      </c>
      <c r="F801" t="s">
        <v>609</v>
      </c>
      <c r="G801">
        <v>2</v>
      </c>
      <c r="H801">
        <v>1</v>
      </c>
      <c r="I801">
        <v>10</v>
      </c>
      <c r="J801" t="b">
        <v>0</v>
      </c>
      <c r="K801" t="s">
        <v>1104</v>
      </c>
      <c r="L801">
        <v>36</v>
      </c>
      <c r="M801" t="s">
        <v>1220</v>
      </c>
      <c r="N801" t="s">
        <v>1107</v>
      </c>
      <c r="O801">
        <v>70.5</v>
      </c>
      <c r="P801">
        <v>6.35</v>
      </c>
      <c r="Q801" t="s">
        <v>1110</v>
      </c>
    </row>
    <row r="802" spans="1:17">
      <c r="A802" s="2">
        <v>45885</v>
      </c>
      <c r="B802">
        <v>1</v>
      </c>
      <c r="C802">
        <v>1</v>
      </c>
      <c r="D802" t="s">
        <v>17</v>
      </c>
      <c r="E802" t="s">
        <v>29</v>
      </c>
      <c r="F802" t="s">
        <v>29</v>
      </c>
      <c r="G802">
        <v>0</v>
      </c>
      <c r="H802">
        <v>0</v>
      </c>
      <c r="I802">
        <v>0</v>
      </c>
      <c r="J802" t="s">
        <v>1230</v>
      </c>
      <c r="L802">
        <v>33</v>
      </c>
      <c r="N802" t="s">
        <v>1107</v>
      </c>
      <c r="O802">
        <v>62</v>
      </c>
      <c r="P802">
        <v>6.72</v>
      </c>
      <c r="Q802" t="s">
        <v>1110</v>
      </c>
    </row>
    <row r="803" spans="1:17">
      <c r="A803" s="2">
        <v>45885</v>
      </c>
      <c r="B803">
        <v>1</v>
      </c>
      <c r="C803">
        <v>2</v>
      </c>
      <c r="D803" t="s">
        <v>1269</v>
      </c>
      <c r="E803" t="s">
        <v>30</v>
      </c>
      <c r="F803" t="s">
        <v>334</v>
      </c>
      <c r="G803">
        <v>2</v>
      </c>
      <c r="H803">
        <v>0</v>
      </c>
      <c r="I803">
        <v>2</v>
      </c>
      <c r="J803" t="s">
        <v>1230</v>
      </c>
      <c r="L803">
        <v>33</v>
      </c>
      <c r="N803" t="s">
        <v>1107</v>
      </c>
      <c r="O803">
        <v>84.5</v>
      </c>
      <c r="P803">
        <v>6.27</v>
      </c>
      <c r="Q803" t="s">
        <v>1110</v>
      </c>
    </row>
    <row r="804" spans="1:17">
      <c r="A804" s="2">
        <v>45885</v>
      </c>
      <c r="B804">
        <v>1</v>
      </c>
      <c r="C804">
        <v>3</v>
      </c>
      <c r="D804" t="s">
        <v>18</v>
      </c>
      <c r="E804" t="s">
        <v>31</v>
      </c>
      <c r="F804" t="s">
        <v>863</v>
      </c>
      <c r="G804">
        <v>2</v>
      </c>
      <c r="H804">
        <v>2</v>
      </c>
      <c r="I804">
        <v>2</v>
      </c>
      <c r="J804" t="s">
        <v>1230</v>
      </c>
      <c r="L804">
        <v>33</v>
      </c>
      <c r="M804">
        <v>10</v>
      </c>
      <c r="N804" t="s">
        <v>1107</v>
      </c>
      <c r="O804">
        <v>64.099999999999994</v>
      </c>
      <c r="P804">
        <v>5.93</v>
      </c>
      <c r="Q804" t="s">
        <v>1110</v>
      </c>
    </row>
    <row r="805" spans="1:17">
      <c r="A805" s="2">
        <v>45885</v>
      </c>
      <c r="B805">
        <v>1</v>
      </c>
      <c r="C805">
        <v>4</v>
      </c>
      <c r="D805" t="s">
        <v>19</v>
      </c>
      <c r="E805" t="s">
        <v>32</v>
      </c>
      <c r="F805" t="s">
        <v>191</v>
      </c>
      <c r="G805">
        <v>1</v>
      </c>
      <c r="H805">
        <v>0</v>
      </c>
      <c r="I805">
        <v>3</v>
      </c>
      <c r="J805" t="s">
        <v>1230</v>
      </c>
      <c r="L805">
        <v>33</v>
      </c>
      <c r="N805" t="s">
        <v>1107</v>
      </c>
      <c r="O805">
        <v>72</v>
      </c>
      <c r="P805">
        <v>7.42</v>
      </c>
      <c r="Q805" t="s">
        <v>1110</v>
      </c>
    </row>
    <row r="806" spans="1:17">
      <c r="A806" s="2">
        <v>45885</v>
      </c>
      <c r="B806">
        <v>1</v>
      </c>
      <c r="C806">
        <v>5</v>
      </c>
      <c r="D806" t="s">
        <v>1115</v>
      </c>
      <c r="E806" t="s">
        <v>33</v>
      </c>
      <c r="F806" t="s">
        <v>612</v>
      </c>
      <c r="G806">
        <v>4</v>
      </c>
      <c r="H806">
        <v>2</v>
      </c>
      <c r="I806">
        <v>5</v>
      </c>
      <c r="J806" t="s">
        <v>1230</v>
      </c>
      <c r="L806">
        <v>33</v>
      </c>
      <c r="M806">
        <v>10</v>
      </c>
      <c r="N806" t="s">
        <v>1107</v>
      </c>
      <c r="O806">
        <v>68.400000000000006</v>
      </c>
      <c r="P806">
        <v>5.75</v>
      </c>
      <c r="Q806" t="s">
        <v>1110</v>
      </c>
    </row>
    <row r="807" spans="1:17">
      <c r="A807" s="2">
        <v>45885</v>
      </c>
      <c r="B807">
        <v>1</v>
      </c>
      <c r="C807">
        <v>6</v>
      </c>
      <c r="D807" t="s">
        <v>1270</v>
      </c>
      <c r="E807" t="s">
        <v>34</v>
      </c>
      <c r="F807" t="s">
        <v>338</v>
      </c>
      <c r="G807">
        <v>0</v>
      </c>
      <c r="H807">
        <v>1</v>
      </c>
      <c r="I807">
        <v>4</v>
      </c>
      <c r="J807" t="s">
        <v>1230</v>
      </c>
      <c r="L807">
        <v>33</v>
      </c>
      <c r="M807">
        <v>9.6999999999999993</v>
      </c>
      <c r="N807" t="s">
        <v>1107</v>
      </c>
      <c r="O807">
        <v>68.5</v>
      </c>
      <c r="P807">
        <v>5.16</v>
      </c>
      <c r="Q807" t="s">
        <v>1110</v>
      </c>
    </row>
    <row r="808" spans="1:17">
      <c r="A808" s="2">
        <v>45885</v>
      </c>
      <c r="B808">
        <v>1</v>
      </c>
      <c r="C808">
        <v>7</v>
      </c>
      <c r="D808" t="s">
        <v>1114</v>
      </c>
      <c r="E808" t="s">
        <v>35</v>
      </c>
      <c r="F808" t="s">
        <v>864</v>
      </c>
      <c r="G808">
        <v>1</v>
      </c>
      <c r="H808">
        <v>4</v>
      </c>
      <c r="I808">
        <v>1</v>
      </c>
      <c r="J808" t="s">
        <v>1230</v>
      </c>
      <c r="L808">
        <v>33</v>
      </c>
      <c r="M808">
        <v>10</v>
      </c>
      <c r="N808" t="s">
        <v>1107</v>
      </c>
      <c r="O808">
        <v>83.6</v>
      </c>
      <c r="P808">
        <v>7.33</v>
      </c>
      <c r="Q808" t="s">
        <v>1110</v>
      </c>
    </row>
    <row r="809" spans="1:17">
      <c r="A809" s="2">
        <v>45885</v>
      </c>
      <c r="B809">
        <v>1</v>
      </c>
      <c r="C809">
        <v>8</v>
      </c>
      <c r="D809" t="s">
        <v>1271</v>
      </c>
      <c r="E809" t="s">
        <v>36</v>
      </c>
      <c r="F809" t="s">
        <v>865</v>
      </c>
      <c r="G809">
        <v>5</v>
      </c>
      <c r="H809">
        <v>0</v>
      </c>
      <c r="I809">
        <v>6</v>
      </c>
      <c r="J809" t="s">
        <v>1230</v>
      </c>
      <c r="L809">
        <v>33</v>
      </c>
      <c r="N809" t="s">
        <v>1107</v>
      </c>
      <c r="O809">
        <v>75.599999999999994</v>
      </c>
      <c r="P809">
        <v>6.74</v>
      </c>
      <c r="Q809" t="s">
        <v>1110</v>
      </c>
    </row>
    <row r="810" spans="1:17">
      <c r="A810" s="2">
        <v>45885</v>
      </c>
      <c r="B810">
        <v>1</v>
      </c>
      <c r="C810">
        <v>9</v>
      </c>
      <c r="D810" t="s">
        <v>20</v>
      </c>
      <c r="E810" t="s">
        <v>37</v>
      </c>
      <c r="F810" t="s">
        <v>866</v>
      </c>
      <c r="G810">
        <v>3</v>
      </c>
      <c r="H810">
        <v>0</v>
      </c>
      <c r="I810">
        <v>9</v>
      </c>
      <c r="J810" t="s">
        <v>1230</v>
      </c>
      <c r="L810">
        <v>33</v>
      </c>
      <c r="N810" t="s">
        <v>1107</v>
      </c>
      <c r="O810">
        <v>60.8</v>
      </c>
      <c r="P810">
        <v>5.94</v>
      </c>
      <c r="Q810" t="s">
        <v>1111</v>
      </c>
    </row>
    <row r="811" spans="1:17">
      <c r="A811" s="2">
        <v>45885</v>
      </c>
      <c r="B811">
        <v>1</v>
      </c>
      <c r="C811">
        <v>10</v>
      </c>
      <c r="D811" t="s">
        <v>1113</v>
      </c>
      <c r="E811" t="s">
        <v>38</v>
      </c>
      <c r="F811" t="s">
        <v>746</v>
      </c>
      <c r="G811">
        <v>0</v>
      </c>
      <c r="H811">
        <v>3</v>
      </c>
      <c r="I811">
        <v>6</v>
      </c>
      <c r="J811" t="s">
        <v>1230</v>
      </c>
      <c r="L811">
        <v>33</v>
      </c>
      <c r="M811">
        <v>10</v>
      </c>
      <c r="N811" t="s">
        <v>1107</v>
      </c>
      <c r="O811">
        <v>63.2</v>
      </c>
      <c r="P811">
        <v>7.76</v>
      </c>
      <c r="Q811" t="s">
        <v>1110</v>
      </c>
    </row>
    <row r="812" spans="1:17">
      <c r="A812" s="2">
        <v>45885</v>
      </c>
      <c r="B812">
        <v>1</v>
      </c>
      <c r="C812">
        <v>11</v>
      </c>
      <c r="D812" t="s">
        <v>1272</v>
      </c>
      <c r="E812" t="s">
        <v>39</v>
      </c>
      <c r="F812" t="s">
        <v>867</v>
      </c>
      <c r="G812">
        <v>0</v>
      </c>
      <c r="H812">
        <v>1</v>
      </c>
      <c r="I812">
        <v>5</v>
      </c>
      <c r="J812" t="s">
        <v>1230</v>
      </c>
      <c r="L812">
        <v>33</v>
      </c>
      <c r="M812">
        <v>9.8000000000000007</v>
      </c>
      <c r="N812" t="s">
        <v>1107</v>
      </c>
      <c r="O812">
        <v>75.7</v>
      </c>
      <c r="P812">
        <v>5.2</v>
      </c>
      <c r="Q812" t="s">
        <v>1110</v>
      </c>
    </row>
    <row r="813" spans="1:17">
      <c r="A813" s="2">
        <v>45885</v>
      </c>
      <c r="B813">
        <v>1</v>
      </c>
      <c r="C813">
        <v>12</v>
      </c>
      <c r="D813" t="s">
        <v>21</v>
      </c>
      <c r="E813" t="s">
        <v>40</v>
      </c>
      <c r="F813" t="s">
        <v>868</v>
      </c>
      <c r="G813">
        <v>3</v>
      </c>
      <c r="H813">
        <v>1</v>
      </c>
      <c r="I813">
        <v>7</v>
      </c>
      <c r="J813" t="s">
        <v>1230</v>
      </c>
      <c r="L813">
        <v>33</v>
      </c>
      <c r="M813">
        <v>9.4</v>
      </c>
      <c r="N813" t="s">
        <v>1107</v>
      </c>
      <c r="O813">
        <v>67.400000000000006</v>
      </c>
      <c r="P813">
        <v>6.14</v>
      </c>
      <c r="Q813" t="s">
        <v>1110</v>
      </c>
    </row>
    <row r="814" spans="1:17">
      <c r="A814" s="2">
        <v>45885</v>
      </c>
      <c r="B814">
        <v>1</v>
      </c>
      <c r="C814">
        <v>13</v>
      </c>
      <c r="D814" t="s">
        <v>22</v>
      </c>
      <c r="E814" t="s">
        <v>41</v>
      </c>
      <c r="F814" t="s">
        <v>869</v>
      </c>
      <c r="G814">
        <v>3</v>
      </c>
      <c r="H814">
        <v>3</v>
      </c>
      <c r="I814">
        <v>7</v>
      </c>
      <c r="J814" t="s">
        <v>1230</v>
      </c>
      <c r="L814">
        <v>33</v>
      </c>
      <c r="M814">
        <v>10</v>
      </c>
      <c r="N814" t="s">
        <v>1107</v>
      </c>
      <c r="O814">
        <v>65.8</v>
      </c>
      <c r="P814">
        <v>6.8</v>
      </c>
      <c r="Q814" t="s">
        <v>1110</v>
      </c>
    </row>
    <row r="815" spans="1:17">
      <c r="A815" s="2">
        <v>45885</v>
      </c>
      <c r="B815">
        <v>1</v>
      </c>
      <c r="C815">
        <v>14</v>
      </c>
      <c r="D815" t="s">
        <v>23</v>
      </c>
      <c r="E815" t="s">
        <v>42</v>
      </c>
      <c r="F815" t="s">
        <v>870</v>
      </c>
      <c r="G815">
        <v>2</v>
      </c>
      <c r="H815">
        <v>2</v>
      </c>
      <c r="I815">
        <v>7</v>
      </c>
      <c r="J815" t="s">
        <v>1230</v>
      </c>
      <c r="L815">
        <v>33</v>
      </c>
      <c r="M815">
        <v>9.9</v>
      </c>
      <c r="N815" t="s">
        <v>1107</v>
      </c>
      <c r="O815">
        <v>69.599999999999994</v>
      </c>
      <c r="P815">
        <v>7.39</v>
      </c>
      <c r="Q815" t="s">
        <v>1111</v>
      </c>
    </row>
    <row r="816" spans="1:17">
      <c r="A816" s="2">
        <v>45885</v>
      </c>
      <c r="B816">
        <v>1</v>
      </c>
      <c r="C816">
        <v>15</v>
      </c>
      <c r="D816" t="s">
        <v>24</v>
      </c>
      <c r="E816" t="s">
        <v>43</v>
      </c>
      <c r="F816" t="s">
        <v>871</v>
      </c>
      <c r="G816">
        <v>0</v>
      </c>
      <c r="H816">
        <v>0</v>
      </c>
      <c r="I816">
        <v>7</v>
      </c>
      <c r="J816" t="s">
        <v>1230</v>
      </c>
      <c r="L816">
        <v>33</v>
      </c>
      <c r="N816" t="s">
        <v>1107</v>
      </c>
      <c r="O816">
        <v>68.5</v>
      </c>
      <c r="P816">
        <v>7.81</v>
      </c>
      <c r="Q816" t="s">
        <v>1110</v>
      </c>
    </row>
    <row r="817" spans="1:17">
      <c r="A817" s="2">
        <v>45885</v>
      </c>
      <c r="B817">
        <v>1</v>
      </c>
      <c r="C817">
        <v>16</v>
      </c>
      <c r="D817" t="s">
        <v>1273</v>
      </c>
      <c r="E817" t="s">
        <v>44</v>
      </c>
      <c r="F817" t="s">
        <v>872</v>
      </c>
      <c r="G817">
        <v>4</v>
      </c>
      <c r="H817">
        <v>1</v>
      </c>
      <c r="I817">
        <v>10</v>
      </c>
      <c r="J817" t="s">
        <v>1230</v>
      </c>
      <c r="L817">
        <v>33</v>
      </c>
      <c r="M817">
        <v>10</v>
      </c>
      <c r="N817" t="s">
        <v>1107</v>
      </c>
      <c r="O817">
        <v>68.2</v>
      </c>
      <c r="P817">
        <v>5.58</v>
      </c>
      <c r="Q817" t="s">
        <v>1110</v>
      </c>
    </row>
    <row r="818" spans="1:17">
      <c r="A818" s="2">
        <v>45885</v>
      </c>
      <c r="B818">
        <v>1</v>
      </c>
      <c r="C818">
        <v>17</v>
      </c>
      <c r="D818" t="s">
        <v>25</v>
      </c>
      <c r="E818" t="s">
        <v>45</v>
      </c>
      <c r="F818" t="s">
        <v>873</v>
      </c>
      <c r="G818">
        <v>1</v>
      </c>
      <c r="H818">
        <v>0</v>
      </c>
      <c r="I818">
        <v>11</v>
      </c>
      <c r="J818" t="s">
        <v>1230</v>
      </c>
      <c r="K818" t="s">
        <v>1104</v>
      </c>
      <c r="L818">
        <v>33</v>
      </c>
      <c r="N818" t="s">
        <v>1107</v>
      </c>
      <c r="O818">
        <v>61.7</v>
      </c>
      <c r="P818">
        <v>7.37</v>
      </c>
      <c r="Q818" t="s">
        <v>1110</v>
      </c>
    </row>
    <row r="819" spans="1:17">
      <c r="A819" s="2">
        <v>45885</v>
      </c>
      <c r="B819">
        <v>1</v>
      </c>
      <c r="C819">
        <v>18</v>
      </c>
      <c r="D819" t="s">
        <v>26</v>
      </c>
      <c r="E819" t="s">
        <v>46</v>
      </c>
      <c r="F819" t="s">
        <v>874</v>
      </c>
      <c r="G819">
        <v>0</v>
      </c>
      <c r="H819">
        <v>1</v>
      </c>
      <c r="I819">
        <v>10</v>
      </c>
      <c r="J819" t="s">
        <v>1230</v>
      </c>
      <c r="K819" t="s">
        <v>1104</v>
      </c>
      <c r="L819">
        <v>33</v>
      </c>
      <c r="M819">
        <v>5.9</v>
      </c>
      <c r="N819" t="s">
        <v>1107</v>
      </c>
      <c r="O819">
        <v>75.900000000000006</v>
      </c>
      <c r="P819">
        <v>5.77</v>
      </c>
      <c r="Q819" t="s">
        <v>1110</v>
      </c>
    </row>
    <row r="820" spans="1:17">
      <c r="A820" s="2">
        <v>45885</v>
      </c>
      <c r="B820">
        <v>1</v>
      </c>
      <c r="C820">
        <v>19</v>
      </c>
      <c r="D820" t="s">
        <v>27</v>
      </c>
      <c r="E820" t="s">
        <v>47</v>
      </c>
      <c r="F820" t="s">
        <v>875</v>
      </c>
      <c r="G820">
        <v>3</v>
      </c>
      <c r="H820">
        <v>3</v>
      </c>
      <c r="I820">
        <v>10</v>
      </c>
      <c r="J820" t="s">
        <v>1230</v>
      </c>
      <c r="K820" t="s">
        <v>1104</v>
      </c>
      <c r="L820">
        <v>33</v>
      </c>
      <c r="M820">
        <v>6</v>
      </c>
      <c r="N820" t="s">
        <v>1107</v>
      </c>
      <c r="O820">
        <v>71.099999999999994</v>
      </c>
      <c r="P820">
        <v>5.73</v>
      </c>
      <c r="Q820" t="s">
        <v>1110</v>
      </c>
    </row>
    <row r="821" spans="1:17">
      <c r="A821" s="2">
        <v>45885</v>
      </c>
      <c r="B821">
        <v>1</v>
      </c>
      <c r="C821">
        <v>20</v>
      </c>
      <c r="D821" t="s">
        <v>28</v>
      </c>
      <c r="E821" t="s">
        <v>48</v>
      </c>
      <c r="F821" t="s">
        <v>876</v>
      </c>
      <c r="G821">
        <v>2</v>
      </c>
      <c r="H821">
        <v>5</v>
      </c>
      <c r="I821">
        <v>7</v>
      </c>
      <c r="J821" t="s">
        <v>1230</v>
      </c>
      <c r="K821" t="s">
        <v>1104</v>
      </c>
      <c r="L821">
        <v>33</v>
      </c>
      <c r="M821">
        <v>5.9</v>
      </c>
      <c r="N821" t="s">
        <v>1107</v>
      </c>
      <c r="O821">
        <v>67.8</v>
      </c>
      <c r="P821">
        <v>6.31</v>
      </c>
      <c r="Q821" t="s">
        <v>1112</v>
      </c>
    </row>
    <row r="822" spans="1:17">
      <c r="A822" s="2">
        <v>45885</v>
      </c>
      <c r="B822">
        <v>2</v>
      </c>
      <c r="C822">
        <v>1</v>
      </c>
      <c r="D822" t="s">
        <v>17</v>
      </c>
      <c r="E822" t="s">
        <v>49</v>
      </c>
      <c r="F822" t="s">
        <v>877</v>
      </c>
      <c r="G822">
        <v>0</v>
      </c>
      <c r="H822">
        <v>0</v>
      </c>
      <c r="I822">
        <v>0</v>
      </c>
      <c r="J822" t="s">
        <v>1230</v>
      </c>
      <c r="L822">
        <v>34</v>
      </c>
      <c r="N822" t="s">
        <v>1107</v>
      </c>
      <c r="O822">
        <v>67.8</v>
      </c>
      <c r="P822">
        <v>7.66</v>
      </c>
      <c r="Q822" t="s">
        <v>1110</v>
      </c>
    </row>
    <row r="823" spans="1:17">
      <c r="A823" s="2">
        <v>45885</v>
      </c>
      <c r="B823">
        <v>2</v>
      </c>
      <c r="C823">
        <v>2</v>
      </c>
      <c r="D823" t="s">
        <v>1269</v>
      </c>
      <c r="E823" t="s">
        <v>50</v>
      </c>
      <c r="F823" t="s">
        <v>878</v>
      </c>
      <c r="G823">
        <v>2</v>
      </c>
      <c r="H823">
        <v>0</v>
      </c>
      <c r="I823">
        <v>2</v>
      </c>
      <c r="J823" t="s">
        <v>1230</v>
      </c>
      <c r="L823">
        <v>34</v>
      </c>
      <c r="N823" t="s">
        <v>1107</v>
      </c>
      <c r="O823">
        <v>67.7</v>
      </c>
      <c r="P823">
        <v>6.03</v>
      </c>
      <c r="Q823" t="s">
        <v>1110</v>
      </c>
    </row>
    <row r="824" spans="1:17">
      <c r="A824" s="2">
        <v>45885</v>
      </c>
      <c r="B824">
        <v>2</v>
      </c>
      <c r="C824">
        <v>3</v>
      </c>
      <c r="D824" t="s">
        <v>18</v>
      </c>
      <c r="E824" t="s">
        <v>51</v>
      </c>
      <c r="F824" t="s">
        <v>879</v>
      </c>
      <c r="G824">
        <v>4</v>
      </c>
      <c r="H824">
        <v>2</v>
      </c>
      <c r="I824">
        <v>4</v>
      </c>
      <c r="J824" t="s">
        <v>1230</v>
      </c>
      <c r="L824">
        <v>34</v>
      </c>
      <c r="M824">
        <v>9.9</v>
      </c>
      <c r="N824" t="s">
        <v>1107</v>
      </c>
      <c r="O824">
        <v>74.7</v>
      </c>
      <c r="P824">
        <v>7.03</v>
      </c>
      <c r="Q824" t="s">
        <v>1110</v>
      </c>
    </row>
    <row r="825" spans="1:17">
      <c r="A825" s="2">
        <v>45885</v>
      </c>
      <c r="B825">
        <v>2</v>
      </c>
      <c r="C825">
        <v>4</v>
      </c>
      <c r="D825" t="s">
        <v>19</v>
      </c>
      <c r="E825" t="s">
        <v>52</v>
      </c>
      <c r="F825" t="s">
        <v>880</v>
      </c>
      <c r="G825">
        <v>4</v>
      </c>
      <c r="H825">
        <v>1</v>
      </c>
      <c r="I825">
        <v>7</v>
      </c>
      <c r="J825" t="s">
        <v>1230</v>
      </c>
      <c r="L825">
        <v>34</v>
      </c>
      <c r="M825">
        <v>10</v>
      </c>
      <c r="N825" t="s">
        <v>1107</v>
      </c>
      <c r="O825">
        <v>80.900000000000006</v>
      </c>
      <c r="P825">
        <v>7.58</v>
      </c>
      <c r="Q825" t="s">
        <v>1110</v>
      </c>
    </row>
    <row r="826" spans="1:17">
      <c r="A826" s="2">
        <v>45885</v>
      </c>
      <c r="B826">
        <v>2</v>
      </c>
      <c r="C826">
        <v>5</v>
      </c>
      <c r="D826" t="s">
        <v>1115</v>
      </c>
      <c r="E826" t="s">
        <v>53</v>
      </c>
      <c r="F826" t="s">
        <v>881</v>
      </c>
      <c r="G826">
        <v>0</v>
      </c>
      <c r="H826">
        <v>1</v>
      </c>
      <c r="I826">
        <v>6</v>
      </c>
      <c r="J826" t="s">
        <v>1230</v>
      </c>
      <c r="L826">
        <v>34</v>
      </c>
      <c r="M826">
        <v>9.8000000000000007</v>
      </c>
      <c r="N826" t="s">
        <v>1107</v>
      </c>
      <c r="O826">
        <v>65</v>
      </c>
      <c r="P826">
        <v>7.73</v>
      </c>
      <c r="Q826" t="s">
        <v>1110</v>
      </c>
    </row>
    <row r="827" spans="1:17">
      <c r="A827" s="2">
        <v>45885</v>
      </c>
      <c r="B827">
        <v>2</v>
      </c>
      <c r="C827">
        <v>6</v>
      </c>
      <c r="D827" t="s">
        <v>1270</v>
      </c>
      <c r="E827" t="s">
        <v>54</v>
      </c>
      <c r="F827" t="s">
        <v>882</v>
      </c>
      <c r="G827">
        <v>3</v>
      </c>
      <c r="H827">
        <v>5</v>
      </c>
      <c r="I827">
        <v>4</v>
      </c>
      <c r="J827" t="s">
        <v>1230</v>
      </c>
      <c r="L827">
        <v>34</v>
      </c>
      <c r="M827">
        <v>9.9</v>
      </c>
      <c r="N827" t="s">
        <v>1107</v>
      </c>
      <c r="O827">
        <v>76.7</v>
      </c>
      <c r="P827">
        <v>7.08</v>
      </c>
      <c r="Q827" t="s">
        <v>1112</v>
      </c>
    </row>
    <row r="828" spans="1:17">
      <c r="A828" s="2">
        <v>45885</v>
      </c>
      <c r="B828">
        <v>2</v>
      </c>
      <c r="C828">
        <v>7</v>
      </c>
      <c r="D828" t="s">
        <v>1114</v>
      </c>
      <c r="E828" t="s">
        <v>55</v>
      </c>
      <c r="F828" t="s">
        <v>883</v>
      </c>
      <c r="G828">
        <v>0</v>
      </c>
      <c r="H828">
        <v>1</v>
      </c>
      <c r="I828">
        <v>3</v>
      </c>
      <c r="J828" t="s">
        <v>1230</v>
      </c>
      <c r="L828">
        <v>34</v>
      </c>
      <c r="M828">
        <v>9.8000000000000007</v>
      </c>
      <c r="N828" t="s">
        <v>1107</v>
      </c>
      <c r="O828">
        <v>68.3</v>
      </c>
      <c r="P828">
        <v>6.74</v>
      </c>
      <c r="Q828" t="s">
        <v>1112</v>
      </c>
    </row>
    <row r="829" spans="1:17">
      <c r="A829" s="2">
        <v>45885</v>
      </c>
      <c r="B829">
        <v>2</v>
      </c>
      <c r="C829">
        <v>8</v>
      </c>
      <c r="D829" t="s">
        <v>1271</v>
      </c>
      <c r="E829" t="s">
        <v>56</v>
      </c>
      <c r="F829" t="s">
        <v>884</v>
      </c>
      <c r="G829">
        <v>4</v>
      </c>
      <c r="H829">
        <v>2</v>
      </c>
      <c r="I829">
        <v>5</v>
      </c>
      <c r="J829" t="s">
        <v>1230</v>
      </c>
      <c r="L829">
        <v>34</v>
      </c>
      <c r="M829">
        <v>9.3000000000000007</v>
      </c>
      <c r="N829" t="s">
        <v>1107</v>
      </c>
      <c r="O829">
        <v>70.5</v>
      </c>
      <c r="P829">
        <v>5.49</v>
      </c>
      <c r="Q829" t="s">
        <v>1110</v>
      </c>
    </row>
    <row r="830" spans="1:17">
      <c r="A830" s="2">
        <v>45885</v>
      </c>
      <c r="B830">
        <v>2</v>
      </c>
      <c r="C830">
        <v>9</v>
      </c>
      <c r="D830" t="s">
        <v>20</v>
      </c>
      <c r="E830" t="s">
        <v>57</v>
      </c>
      <c r="F830" t="s">
        <v>885</v>
      </c>
      <c r="G830">
        <v>1</v>
      </c>
      <c r="H830">
        <v>1</v>
      </c>
      <c r="I830">
        <v>5</v>
      </c>
      <c r="J830" t="s">
        <v>1230</v>
      </c>
      <c r="L830">
        <v>34</v>
      </c>
      <c r="M830">
        <v>9.5</v>
      </c>
      <c r="N830" t="s">
        <v>1107</v>
      </c>
      <c r="O830">
        <v>61.1</v>
      </c>
      <c r="P830">
        <v>5.66</v>
      </c>
      <c r="Q830" t="s">
        <v>1110</v>
      </c>
    </row>
    <row r="831" spans="1:17">
      <c r="A831" s="2">
        <v>45885</v>
      </c>
      <c r="B831">
        <v>2</v>
      </c>
      <c r="C831">
        <v>10</v>
      </c>
      <c r="D831" t="s">
        <v>1113</v>
      </c>
      <c r="E831" t="s">
        <v>58</v>
      </c>
      <c r="F831" t="s">
        <v>886</v>
      </c>
      <c r="G831">
        <v>3</v>
      </c>
      <c r="H831">
        <v>5</v>
      </c>
      <c r="I831">
        <v>3</v>
      </c>
      <c r="J831" t="s">
        <v>1230</v>
      </c>
      <c r="L831">
        <v>34</v>
      </c>
      <c r="M831">
        <v>9.8000000000000007</v>
      </c>
      <c r="N831" t="s">
        <v>1107</v>
      </c>
      <c r="O831">
        <v>65.8</v>
      </c>
      <c r="P831">
        <v>6.87</v>
      </c>
      <c r="Q831" t="s">
        <v>1110</v>
      </c>
    </row>
    <row r="832" spans="1:17">
      <c r="A832" s="2">
        <v>45885</v>
      </c>
      <c r="B832">
        <v>2</v>
      </c>
      <c r="C832">
        <v>11</v>
      </c>
      <c r="D832" t="s">
        <v>1272</v>
      </c>
      <c r="E832" t="s">
        <v>59</v>
      </c>
      <c r="F832" t="s">
        <v>887</v>
      </c>
      <c r="G832">
        <v>0</v>
      </c>
      <c r="H832">
        <v>2</v>
      </c>
      <c r="I832">
        <v>1</v>
      </c>
      <c r="J832" t="s">
        <v>1230</v>
      </c>
      <c r="L832">
        <v>34</v>
      </c>
      <c r="M832">
        <v>8.6</v>
      </c>
      <c r="N832" t="s">
        <v>1107</v>
      </c>
      <c r="O832">
        <v>83.8</v>
      </c>
      <c r="P832">
        <v>5.99</v>
      </c>
      <c r="Q832" t="s">
        <v>1110</v>
      </c>
    </row>
    <row r="833" spans="1:17">
      <c r="A833" s="2">
        <v>45885</v>
      </c>
      <c r="B833">
        <v>2</v>
      </c>
      <c r="C833">
        <v>12</v>
      </c>
      <c r="D833" t="s">
        <v>21</v>
      </c>
      <c r="E833" t="s">
        <v>60</v>
      </c>
      <c r="F833" t="s">
        <v>888</v>
      </c>
      <c r="G833">
        <v>1</v>
      </c>
      <c r="H833">
        <v>0</v>
      </c>
      <c r="I833">
        <v>2</v>
      </c>
      <c r="J833" t="s">
        <v>1230</v>
      </c>
      <c r="L833">
        <v>34</v>
      </c>
      <c r="N833" t="s">
        <v>1107</v>
      </c>
      <c r="O833">
        <v>64.599999999999994</v>
      </c>
      <c r="P833">
        <v>7.97</v>
      </c>
      <c r="Q833" t="s">
        <v>1110</v>
      </c>
    </row>
    <row r="834" spans="1:17">
      <c r="A834" s="2">
        <v>45885</v>
      </c>
      <c r="B834">
        <v>2</v>
      </c>
      <c r="C834">
        <v>13</v>
      </c>
      <c r="D834" t="s">
        <v>22</v>
      </c>
      <c r="E834" t="s">
        <v>61</v>
      </c>
      <c r="F834" t="s">
        <v>889</v>
      </c>
      <c r="G834">
        <v>2</v>
      </c>
      <c r="H834">
        <v>1</v>
      </c>
      <c r="I834">
        <v>3</v>
      </c>
      <c r="J834" t="s">
        <v>1230</v>
      </c>
      <c r="L834">
        <v>34</v>
      </c>
      <c r="M834">
        <v>7.3</v>
      </c>
      <c r="N834" t="s">
        <v>1107</v>
      </c>
      <c r="O834">
        <v>60.8</v>
      </c>
      <c r="P834">
        <v>5.35</v>
      </c>
      <c r="Q834" t="s">
        <v>1110</v>
      </c>
    </row>
    <row r="835" spans="1:17">
      <c r="A835" s="2">
        <v>45885</v>
      </c>
      <c r="B835">
        <v>2</v>
      </c>
      <c r="C835">
        <v>14</v>
      </c>
      <c r="D835" t="s">
        <v>23</v>
      </c>
      <c r="E835" t="s">
        <v>62</v>
      </c>
      <c r="F835" t="s">
        <v>890</v>
      </c>
      <c r="G835">
        <v>2</v>
      </c>
      <c r="H835">
        <v>0</v>
      </c>
      <c r="I835">
        <v>5</v>
      </c>
      <c r="J835" t="s">
        <v>1230</v>
      </c>
      <c r="L835">
        <v>34</v>
      </c>
      <c r="N835" t="s">
        <v>1107</v>
      </c>
      <c r="O835">
        <v>74.599999999999994</v>
      </c>
      <c r="P835">
        <v>7.3</v>
      </c>
      <c r="Q835" t="s">
        <v>1110</v>
      </c>
    </row>
    <row r="836" spans="1:17">
      <c r="A836" s="2">
        <v>45885</v>
      </c>
      <c r="B836">
        <v>2</v>
      </c>
      <c r="C836">
        <v>15</v>
      </c>
      <c r="D836" t="s">
        <v>24</v>
      </c>
      <c r="E836" t="s">
        <v>63</v>
      </c>
      <c r="F836" t="s">
        <v>891</v>
      </c>
      <c r="G836">
        <v>2</v>
      </c>
      <c r="H836">
        <v>3</v>
      </c>
      <c r="I836">
        <v>4</v>
      </c>
      <c r="J836" t="s">
        <v>1230</v>
      </c>
      <c r="L836">
        <v>34</v>
      </c>
      <c r="M836">
        <v>9.5</v>
      </c>
      <c r="N836" t="s">
        <v>1107</v>
      </c>
      <c r="O836">
        <v>64.900000000000006</v>
      </c>
      <c r="P836">
        <v>5.52</v>
      </c>
      <c r="Q836" t="s">
        <v>1111</v>
      </c>
    </row>
    <row r="837" spans="1:17">
      <c r="A837" s="2">
        <v>45885</v>
      </c>
      <c r="B837">
        <v>2</v>
      </c>
      <c r="C837">
        <v>16</v>
      </c>
      <c r="D837" t="s">
        <v>1273</v>
      </c>
      <c r="E837" t="s">
        <v>64</v>
      </c>
      <c r="F837" t="s">
        <v>64</v>
      </c>
      <c r="G837">
        <v>4</v>
      </c>
      <c r="H837">
        <v>2</v>
      </c>
      <c r="I837">
        <v>6</v>
      </c>
      <c r="J837" t="s">
        <v>1230</v>
      </c>
      <c r="L837">
        <v>34</v>
      </c>
      <c r="M837">
        <v>10</v>
      </c>
      <c r="N837" t="s">
        <v>1107</v>
      </c>
      <c r="O837">
        <v>68.5</v>
      </c>
      <c r="P837">
        <v>6.66</v>
      </c>
      <c r="Q837" t="s">
        <v>1110</v>
      </c>
    </row>
    <row r="838" spans="1:17">
      <c r="A838" s="2">
        <v>45885</v>
      </c>
      <c r="B838">
        <v>2</v>
      </c>
      <c r="C838">
        <v>17</v>
      </c>
      <c r="D838" t="s">
        <v>25</v>
      </c>
      <c r="E838" t="s">
        <v>65</v>
      </c>
      <c r="F838" t="s">
        <v>892</v>
      </c>
      <c r="G838">
        <v>2</v>
      </c>
      <c r="H838">
        <v>0</v>
      </c>
      <c r="I838">
        <v>8</v>
      </c>
      <c r="J838" t="s">
        <v>1230</v>
      </c>
      <c r="K838" t="s">
        <v>1104</v>
      </c>
      <c r="L838">
        <v>34</v>
      </c>
      <c r="N838" t="s">
        <v>1107</v>
      </c>
      <c r="O838">
        <v>81.099999999999994</v>
      </c>
      <c r="P838">
        <v>7.73</v>
      </c>
      <c r="Q838" t="s">
        <v>1110</v>
      </c>
    </row>
    <row r="839" spans="1:17">
      <c r="A839" s="2">
        <v>45885</v>
      </c>
      <c r="B839">
        <v>2</v>
      </c>
      <c r="C839">
        <v>18</v>
      </c>
      <c r="D839" t="s">
        <v>26</v>
      </c>
      <c r="E839" t="s">
        <v>66</v>
      </c>
      <c r="F839" t="s">
        <v>641</v>
      </c>
      <c r="G839">
        <v>1</v>
      </c>
      <c r="H839">
        <v>5</v>
      </c>
      <c r="I839">
        <v>4</v>
      </c>
      <c r="J839" t="s">
        <v>1230</v>
      </c>
      <c r="K839" t="s">
        <v>1104</v>
      </c>
      <c r="L839">
        <v>34</v>
      </c>
      <c r="M839">
        <v>5.2</v>
      </c>
      <c r="N839" t="s">
        <v>1107</v>
      </c>
      <c r="O839">
        <v>69.5</v>
      </c>
      <c r="P839">
        <v>7.36</v>
      </c>
      <c r="Q839" t="s">
        <v>1110</v>
      </c>
    </row>
    <row r="840" spans="1:17">
      <c r="A840" s="2">
        <v>45885</v>
      </c>
      <c r="B840">
        <v>2</v>
      </c>
      <c r="C840">
        <v>19</v>
      </c>
      <c r="D840" t="s">
        <v>27</v>
      </c>
      <c r="E840" t="s">
        <v>67</v>
      </c>
      <c r="F840" t="s">
        <v>893</v>
      </c>
      <c r="G840">
        <v>3</v>
      </c>
      <c r="H840">
        <v>0</v>
      </c>
      <c r="I840">
        <v>7</v>
      </c>
      <c r="J840" t="s">
        <v>1230</v>
      </c>
      <c r="K840" t="s">
        <v>1104</v>
      </c>
      <c r="L840">
        <v>34</v>
      </c>
      <c r="N840" t="s">
        <v>1108</v>
      </c>
      <c r="O840">
        <v>67.599999999999994</v>
      </c>
      <c r="P840">
        <v>5.72</v>
      </c>
      <c r="Q840" t="s">
        <v>1111</v>
      </c>
    </row>
    <row r="841" spans="1:17">
      <c r="A841" s="2">
        <v>45885</v>
      </c>
      <c r="B841">
        <v>2</v>
      </c>
      <c r="C841">
        <v>20</v>
      </c>
      <c r="D841" t="s">
        <v>28</v>
      </c>
      <c r="E841" t="s">
        <v>68</v>
      </c>
      <c r="F841" t="s">
        <v>894</v>
      </c>
      <c r="G841">
        <v>5</v>
      </c>
      <c r="H841">
        <v>3</v>
      </c>
      <c r="I841">
        <v>9</v>
      </c>
      <c r="J841" t="s">
        <v>1230</v>
      </c>
      <c r="K841" t="s">
        <v>1104</v>
      </c>
      <c r="L841">
        <v>34</v>
      </c>
      <c r="M841">
        <v>5.2</v>
      </c>
      <c r="N841" t="s">
        <v>1107</v>
      </c>
      <c r="O841">
        <v>83.5</v>
      </c>
      <c r="P841">
        <v>7.93</v>
      </c>
      <c r="Q841" t="s">
        <v>1112</v>
      </c>
    </row>
    <row r="842" spans="1:17">
      <c r="A842" s="2">
        <v>45885</v>
      </c>
      <c r="B842">
        <v>3</v>
      </c>
      <c r="C842">
        <v>1</v>
      </c>
      <c r="D842" t="s">
        <v>17</v>
      </c>
      <c r="E842" t="s">
        <v>69</v>
      </c>
      <c r="F842" t="s">
        <v>69</v>
      </c>
      <c r="G842">
        <v>0</v>
      </c>
      <c r="H842">
        <v>0</v>
      </c>
      <c r="I842">
        <v>0</v>
      </c>
      <c r="J842" t="s">
        <v>1230</v>
      </c>
      <c r="L842">
        <v>33</v>
      </c>
      <c r="N842" t="s">
        <v>1107</v>
      </c>
      <c r="O842">
        <v>82</v>
      </c>
      <c r="P842">
        <v>5.2</v>
      </c>
      <c r="Q842" t="s">
        <v>1110</v>
      </c>
    </row>
    <row r="843" spans="1:17">
      <c r="A843" s="2">
        <v>45885</v>
      </c>
      <c r="B843">
        <v>3</v>
      </c>
      <c r="C843">
        <v>2</v>
      </c>
      <c r="D843" t="s">
        <v>1269</v>
      </c>
      <c r="E843" t="s">
        <v>70</v>
      </c>
      <c r="F843" t="s">
        <v>895</v>
      </c>
      <c r="G843">
        <v>5</v>
      </c>
      <c r="H843">
        <v>0</v>
      </c>
      <c r="I843">
        <v>5</v>
      </c>
      <c r="J843" t="s">
        <v>1230</v>
      </c>
      <c r="L843">
        <v>33</v>
      </c>
      <c r="N843" t="s">
        <v>1108</v>
      </c>
      <c r="O843">
        <v>79.900000000000006</v>
      </c>
      <c r="P843">
        <v>5.58</v>
      </c>
      <c r="Q843" t="s">
        <v>1110</v>
      </c>
    </row>
    <row r="844" spans="1:17">
      <c r="A844" s="2">
        <v>45885</v>
      </c>
      <c r="B844">
        <v>3</v>
      </c>
      <c r="C844">
        <v>3</v>
      </c>
      <c r="D844" t="s">
        <v>18</v>
      </c>
      <c r="E844" t="s">
        <v>71</v>
      </c>
      <c r="F844" t="s">
        <v>896</v>
      </c>
      <c r="G844">
        <v>2</v>
      </c>
      <c r="H844">
        <v>2</v>
      </c>
      <c r="I844">
        <v>5</v>
      </c>
      <c r="J844" t="s">
        <v>1230</v>
      </c>
      <c r="L844">
        <v>33</v>
      </c>
      <c r="M844">
        <v>10</v>
      </c>
      <c r="N844" t="s">
        <v>1107</v>
      </c>
      <c r="O844">
        <v>75</v>
      </c>
      <c r="P844">
        <v>7.93</v>
      </c>
      <c r="Q844" t="s">
        <v>1110</v>
      </c>
    </row>
    <row r="845" spans="1:17">
      <c r="A845" s="2">
        <v>45885</v>
      </c>
      <c r="B845">
        <v>3</v>
      </c>
      <c r="C845">
        <v>4</v>
      </c>
      <c r="D845" t="s">
        <v>19</v>
      </c>
      <c r="E845" t="s">
        <v>72</v>
      </c>
      <c r="F845" t="s">
        <v>897</v>
      </c>
      <c r="G845">
        <v>1</v>
      </c>
      <c r="H845">
        <v>1</v>
      </c>
      <c r="I845">
        <v>5</v>
      </c>
      <c r="J845" t="s">
        <v>1230</v>
      </c>
      <c r="L845">
        <v>33</v>
      </c>
      <c r="M845">
        <v>9.6999999999999993</v>
      </c>
      <c r="N845" t="s">
        <v>1107</v>
      </c>
      <c r="O845">
        <v>75.400000000000006</v>
      </c>
      <c r="P845">
        <v>5.57</v>
      </c>
      <c r="Q845" t="s">
        <v>1110</v>
      </c>
    </row>
    <row r="846" spans="1:17">
      <c r="A846" s="2">
        <v>45885</v>
      </c>
      <c r="B846">
        <v>3</v>
      </c>
      <c r="C846">
        <v>5</v>
      </c>
      <c r="D846" t="s">
        <v>1115</v>
      </c>
      <c r="E846" t="s">
        <v>73</v>
      </c>
      <c r="F846" t="s">
        <v>898</v>
      </c>
      <c r="G846">
        <v>5</v>
      </c>
      <c r="H846">
        <v>3</v>
      </c>
      <c r="I846">
        <v>7</v>
      </c>
      <c r="J846" t="s">
        <v>1230</v>
      </c>
      <c r="L846">
        <v>33</v>
      </c>
      <c r="M846">
        <v>10</v>
      </c>
      <c r="N846" t="s">
        <v>1107</v>
      </c>
      <c r="O846">
        <v>68.2</v>
      </c>
      <c r="P846">
        <v>5.16</v>
      </c>
      <c r="Q846" t="s">
        <v>1110</v>
      </c>
    </row>
    <row r="847" spans="1:17">
      <c r="A847" s="2">
        <v>45885</v>
      </c>
      <c r="B847">
        <v>3</v>
      </c>
      <c r="C847">
        <v>6</v>
      </c>
      <c r="D847" t="s">
        <v>1270</v>
      </c>
      <c r="E847" t="s">
        <v>74</v>
      </c>
      <c r="F847" t="s">
        <v>899</v>
      </c>
      <c r="G847">
        <v>3</v>
      </c>
      <c r="H847">
        <v>2</v>
      </c>
      <c r="I847">
        <v>8</v>
      </c>
      <c r="J847" t="s">
        <v>1230</v>
      </c>
      <c r="L847">
        <v>33</v>
      </c>
      <c r="M847">
        <v>9.4</v>
      </c>
      <c r="N847" t="s">
        <v>1107</v>
      </c>
      <c r="O847">
        <v>81.3</v>
      </c>
      <c r="P847">
        <v>7.91</v>
      </c>
      <c r="Q847" t="s">
        <v>1111</v>
      </c>
    </row>
    <row r="848" spans="1:17">
      <c r="A848" s="2">
        <v>45885</v>
      </c>
      <c r="B848">
        <v>3</v>
      </c>
      <c r="C848">
        <v>7</v>
      </c>
      <c r="D848" t="s">
        <v>1114</v>
      </c>
      <c r="E848" t="s">
        <v>75</v>
      </c>
      <c r="F848" t="s">
        <v>900</v>
      </c>
      <c r="G848">
        <v>4</v>
      </c>
      <c r="H848">
        <v>3</v>
      </c>
      <c r="I848">
        <v>9</v>
      </c>
      <c r="J848" t="s">
        <v>1230</v>
      </c>
      <c r="L848">
        <v>33</v>
      </c>
      <c r="M848">
        <v>10</v>
      </c>
      <c r="N848" t="s">
        <v>1107</v>
      </c>
      <c r="O848">
        <v>62</v>
      </c>
      <c r="P848">
        <v>6.41</v>
      </c>
      <c r="Q848" t="s">
        <v>1110</v>
      </c>
    </row>
    <row r="849" spans="1:17">
      <c r="A849" s="2">
        <v>45885</v>
      </c>
      <c r="B849">
        <v>3</v>
      </c>
      <c r="C849">
        <v>8</v>
      </c>
      <c r="D849" t="s">
        <v>1271</v>
      </c>
      <c r="E849" t="s">
        <v>76</v>
      </c>
      <c r="F849" t="s">
        <v>901</v>
      </c>
      <c r="G849">
        <v>1</v>
      </c>
      <c r="H849">
        <v>1</v>
      </c>
      <c r="I849">
        <v>9</v>
      </c>
      <c r="J849" t="s">
        <v>1230</v>
      </c>
      <c r="L849">
        <v>33</v>
      </c>
      <c r="M849">
        <v>9.6999999999999993</v>
      </c>
      <c r="N849" t="s">
        <v>1107</v>
      </c>
      <c r="O849">
        <v>72.7</v>
      </c>
      <c r="P849">
        <v>7.25</v>
      </c>
      <c r="Q849" t="s">
        <v>1110</v>
      </c>
    </row>
    <row r="850" spans="1:17">
      <c r="A850" s="2">
        <v>45885</v>
      </c>
      <c r="B850">
        <v>3</v>
      </c>
      <c r="C850">
        <v>9</v>
      </c>
      <c r="D850" t="s">
        <v>20</v>
      </c>
      <c r="E850" t="s">
        <v>77</v>
      </c>
      <c r="F850" t="s">
        <v>902</v>
      </c>
      <c r="G850">
        <v>0</v>
      </c>
      <c r="H850">
        <v>4</v>
      </c>
      <c r="I850">
        <v>5</v>
      </c>
      <c r="J850" t="s">
        <v>1230</v>
      </c>
      <c r="L850">
        <v>33</v>
      </c>
      <c r="M850">
        <v>10</v>
      </c>
      <c r="N850" t="s">
        <v>1107</v>
      </c>
      <c r="O850">
        <v>72.5</v>
      </c>
      <c r="P850">
        <v>6.39</v>
      </c>
      <c r="Q850" t="s">
        <v>1110</v>
      </c>
    </row>
    <row r="851" spans="1:17">
      <c r="A851" s="2">
        <v>45885</v>
      </c>
      <c r="B851">
        <v>3</v>
      </c>
      <c r="C851">
        <v>10</v>
      </c>
      <c r="D851" t="s">
        <v>1113</v>
      </c>
      <c r="E851" t="s">
        <v>78</v>
      </c>
      <c r="F851" t="s">
        <v>903</v>
      </c>
      <c r="G851">
        <v>5</v>
      </c>
      <c r="H851">
        <v>4</v>
      </c>
      <c r="I851">
        <v>6</v>
      </c>
      <c r="J851" t="s">
        <v>1230</v>
      </c>
      <c r="L851">
        <v>33</v>
      </c>
      <c r="M851">
        <v>9.9</v>
      </c>
      <c r="N851" t="s">
        <v>1107</v>
      </c>
      <c r="O851">
        <v>77.400000000000006</v>
      </c>
      <c r="P851">
        <v>7.15</v>
      </c>
      <c r="Q851" t="s">
        <v>1110</v>
      </c>
    </row>
    <row r="852" spans="1:17">
      <c r="A852" s="2">
        <v>45885</v>
      </c>
      <c r="B852">
        <v>3</v>
      </c>
      <c r="C852">
        <v>11</v>
      </c>
      <c r="D852" t="s">
        <v>1272</v>
      </c>
      <c r="E852" t="s">
        <v>79</v>
      </c>
      <c r="F852" t="s">
        <v>904</v>
      </c>
      <c r="G852">
        <v>0</v>
      </c>
      <c r="H852">
        <v>4</v>
      </c>
      <c r="I852">
        <v>2</v>
      </c>
      <c r="J852" t="s">
        <v>1230</v>
      </c>
      <c r="L852">
        <v>33</v>
      </c>
      <c r="M852">
        <v>10</v>
      </c>
      <c r="N852" t="s">
        <v>1107</v>
      </c>
      <c r="O852">
        <v>70</v>
      </c>
      <c r="P852">
        <v>7.76</v>
      </c>
      <c r="Q852" t="s">
        <v>1110</v>
      </c>
    </row>
    <row r="853" spans="1:17">
      <c r="A853" s="2">
        <v>45885</v>
      </c>
      <c r="B853">
        <v>3</v>
      </c>
      <c r="C853">
        <v>12</v>
      </c>
      <c r="D853" t="s">
        <v>21</v>
      </c>
      <c r="E853" t="s">
        <v>80</v>
      </c>
      <c r="F853" t="s">
        <v>905</v>
      </c>
      <c r="G853">
        <v>4</v>
      </c>
      <c r="H853">
        <v>2</v>
      </c>
      <c r="I853">
        <v>4</v>
      </c>
      <c r="J853" t="s">
        <v>1230</v>
      </c>
      <c r="L853">
        <v>33</v>
      </c>
      <c r="M853">
        <v>8.4</v>
      </c>
      <c r="N853" t="s">
        <v>1107</v>
      </c>
      <c r="O853">
        <v>65.5</v>
      </c>
      <c r="P853">
        <v>5.61</v>
      </c>
      <c r="Q853" t="s">
        <v>1111</v>
      </c>
    </row>
    <row r="854" spans="1:17">
      <c r="A854" s="2">
        <v>45885</v>
      </c>
      <c r="B854">
        <v>3</v>
      </c>
      <c r="C854">
        <v>13</v>
      </c>
      <c r="D854" t="s">
        <v>22</v>
      </c>
      <c r="E854" t="s">
        <v>81</v>
      </c>
      <c r="F854" t="s">
        <v>906</v>
      </c>
      <c r="G854">
        <v>1</v>
      </c>
      <c r="H854">
        <v>4</v>
      </c>
      <c r="I854">
        <v>1</v>
      </c>
      <c r="J854" t="s">
        <v>1230</v>
      </c>
      <c r="L854">
        <v>33</v>
      </c>
      <c r="N854" t="s">
        <v>1107</v>
      </c>
      <c r="O854">
        <v>67.599999999999994</v>
      </c>
      <c r="P854">
        <v>7.67</v>
      </c>
      <c r="Q854" t="s">
        <v>1110</v>
      </c>
    </row>
    <row r="855" spans="1:17">
      <c r="A855" s="2">
        <v>45885</v>
      </c>
      <c r="B855">
        <v>3</v>
      </c>
      <c r="C855">
        <v>14</v>
      </c>
      <c r="D855" t="s">
        <v>23</v>
      </c>
      <c r="E855" t="s">
        <v>82</v>
      </c>
      <c r="F855" t="s">
        <v>907</v>
      </c>
      <c r="G855">
        <v>1</v>
      </c>
      <c r="H855">
        <v>1</v>
      </c>
      <c r="I855">
        <v>1</v>
      </c>
      <c r="J855" t="s">
        <v>1230</v>
      </c>
      <c r="L855">
        <v>33</v>
      </c>
      <c r="N855" t="s">
        <v>1108</v>
      </c>
      <c r="O855">
        <v>69.400000000000006</v>
      </c>
      <c r="P855">
        <v>6.65</v>
      </c>
      <c r="Q855" t="s">
        <v>1110</v>
      </c>
    </row>
    <row r="856" spans="1:17">
      <c r="A856" s="2">
        <v>45885</v>
      </c>
      <c r="B856">
        <v>3</v>
      </c>
      <c r="C856">
        <v>15</v>
      </c>
      <c r="D856" t="s">
        <v>24</v>
      </c>
      <c r="E856" t="s">
        <v>83</v>
      </c>
      <c r="F856" t="s">
        <v>908</v>
      </c>
      <c r="G856">
        <v>1</v>
      </c>
      <c r="H856">
        <v>1</v>
      </c>
      <c r="I856">
        <v>1</v>
      </c>
      <c r="J856" t="s">
        <v>1230</v>
      </c>
      <c r="L856">
        <v>33</v>
      </c>
      <c r="M856">
        <v>10</v>
      </c>
      <c r="N856" t="s">
        <v>1107</v>
      </c>
      <c r="O856">
        <v>71.099999999999994</v>
      </c>
      <c r="P856">
        <v>6.05</v>
      </c>
      <c r="Q856" t="s">
        <v>1110</v>
      </c>
    </row>
    <row r="857" spans="1:17">
      <c r="A857" s="2">
        <v>45885</v>
      </c>
      <c r="B857">
        <v>3</v>
      </c>
      <c r="C857">
        <v>16</v>
      </c>
      <c r="D857" t="s">
        <v>1273</v>
      </c>
      <c r="E857" t="s">
        <v>84</v>
      </c>
      <c r="F857" t="s">
        <v>909</v>
      </c>
      <c r="G857">
        <v>0</v>
      </c>
      <c r="H857">
        <v>1</v>
      </c>
      <c r="I857">
        <v>0</v>
      </c>
      <c r="J857" t="s">
        <v>1230</v>
      </c>
      <c r="L857">
        <v>33</v>
      </c>
      <c r="M857">
        <v>9.6999999999999993</v>
      </c>
      <c r="N857" t="s">
        <v>1107</v>
      </c>
      <c r="O857">
        <v>75.5</v>
      </c>
      <c r="P857">
        <v>6.28</v>
      </c>
      <c r="Q857" t="s">
        <v>1110</v>
      </c>
    </row>
    <row r="858" spans="1:17">
      <c r="A858" s="2">
        <v>45885</v>
      </c>
      <c r="B858">
        <v>3</v>
      </c>
      <c r="C858">
        <v>17</v>
      </c>
      <c r="D858" t="s">
        <v>25</v>
      </c>
      <c r="E858" t="s">
        <v>85</v>
      </c>
      <c r="F858" t="s">
        <v>910</v>
      </c>
      <c r="G858">
        <v>7</v>
      </c>
      <c r="H858">
        <v>0</v>
      </c>
      <c r="I858">
        <v>7</v>
      </c>
      <c r="J858" t="s">
        <v>1230</v>
      </c>
      <c r="K858" t="s">
        <v>1104</v>
      </c>
      <c r="L858">
        <v>33</v>
      </c>
      <c r="N858" t="s">
        <v>1107</v>
      </c>
      <c r="O858">
        <v>80.099999999999994</v>
      </c>
      <c r="P858">
        <v>5.95</v>
      </c>
      <c r="Q858" t="s">
        <v>1110</v>
      </c>
    </row>
    <row r="859" spans="1:17">
      <c r="A859" s="2">
        <v>45885</v>
      </c>
      <c r="B859">
        <v>3</v>
      </c>
      <c r="C859">
        <v>18</v>
      </c>
      <c r="D859" t="s">
        <v>26</v>
      </c>
      <c r="E859" t="s">
        <v>86</v>
      </c>
      <c r="F859" t="s">
        <v>911</v>
      </c>
      <c r="G859">
        <v>7</v>
      </c>
      <c r="H859">
        <v>4</v>
      </c>
      <c r="I859">
        <v>10</v>
      </c>
      <c r="J859" t="s">
        <v>1230</v>
      </c>
      <c r="K859" t="s">
        <v>1104</v>
      </c>
      <c r="L859">
        <v>33</v>
      </c>
      <c r="M859">
        <v>5.9</v>
      </c>
      <c r="N859" t="s">
        <v>1107</v>
      </c>
      <c r="O859">
        <v>65.8</v>
      </c>
      <c r="P859">
        <v>6.94</v>
      </c>
      <c r="Q859" t="s">
        <v>1110</v>
      </c>
    </row>
    <row r="860" spans="1:17">
      <c r="A860" s="2">
        <v>45885</v>
      </c>
      <c r="B860">
        <v>3</v>
      </c>
      <c r="C860">
        <v>19</v>
      </c>
      <c r="D860" t="s">
        <v>27</v>
      </c>
      <c r="E860" t="s">
        <v>87</v>
      </c>
      <c r="F860" t="s">
        <v>912</v>
      </c>
      <c r="G860">
        <v>0</v>
      </c>
      <c r="H860">
        <v>2</v>
      </c>
      <c r="I860">
        <v>8</v>
      </c>
      <c r="J860" t="s">
        <v>1230</v>
      </c>
      <c r="K860" t="s">
        <v>1104</v>
      </c>
      <c r="L860">
        <v>33</v>
      </c>
      <c r="M860">
        <v>6</v>
      </c>
      <c r="N860" t="s">
        <v>1107</v>
      </c>
      <c r="O860">
        <v>81.099999999999994</v>
      </c>
      <c r="P860">
        <v>6.54</v>
      </c>
      <c r="Q860" t="s">
        <v>1110</v>
      </c>
    </row>
    <row r="861" spans="1:17">
      <c r="A861" s="2">
        <v>45885</v>
      </c>
      <c r="B861">
        <v>3</v>
      </c>
      <c r="C861">
        <v>20</v>
      </c>
      <c r="D861" t="s">
        <v>28</v>
      </c>
      <c r="E861" t="s">
        <v>88</v>
      </c>
      <c r="F861" t="s">
        <v>913</v>
      </c>
      <c r="G861">
        <v>3</v>
      </c>
      <c r="H861">
        <v>0</v>
      </c>
      <c r="I861">
        <v>11</v>
      </c>
      <c r="J861" t="s">
        <v>1230</v>
      </c>
      <c r="K861" t="s">
        <v>1104</v>
      </c>
      <c r="L861">
        <v>33</v>
      </c>
      <c r="N861" t="s">
        <v>1107</v>
      </c>
      <c r="O861">
        <v>83.2</v>
      </c>
      <c r="P861">
        <v>5.3</v>
      </c>
      <c r="Q861" t="s">
        <v>1110</v>
      </c>
    </row>
    <row r="862" spans="1:17">
      <c r="A862" s="2">
        <v>45885</v>
      </c>
      <c r="B862">
        <v>4</v>
      </c>
      <c r="C862">
        <v>1</v>
      </c>
      <c r="D862" t="s">
        <v>17</v>
      </c>
      <c r="E862" t="s">
        <v>89</v>
      </c>
      <c r="F862" t="s">
        <v>914</v>
      </c>
      <c r="G862">
        <v>0</v>
      </c>
      <c r="H862">
        <v>0</v>
      </c>
      <c r="I862">
        <v>0</v>
      </c>
      <c r="J862" t="s">
        <v>1230</v>
      </c>
      <c r="L862">
        <v>34</v>
      </c>
      <c r="N862" t="s">
        <v>1107</v>
      </c>
      <c r="O862">
        <v>65</v>
      </c>
      <c r="P862">
        <v>5.59</v>
      </c>
      <c r="Q862" t="s">
        <v>1110</v>
      </c>
    </row>
    <row r="863" spans="1:17">
      <c r="A863" s="2">
        <v>45885</v>
      </c>
      <c r="B863">
        <v>4</v>
      </c>
      <c r="C863">
        <v>2</v>
      </c>
      <c r="D863" t="s">
        <v>1269</v>
      </c>
      <c r="E863" t="s">
        <v>90</v>
      </c>
      <c r="F863" t="s">
        <v>915</v>
      </c>
      <c r="G863">
        <v>1</v>
      </c>
      <c r="H863">
        <v>0</v>
      </c>
      <c r="I863">
        <v>1</v>
      </c>
      <c r="J863" t="s">
        <v>1230</v>
      </c>
      <c r="L863">
        <v>34</v>
      </c>
      <c r="N863" t="s">
        <v>1107</v>
      </c>
      <c r="O863">
        <v>80.400000000000006</v>
      </c>
      <c r="P863">
        <v>7.05</v>
      </c>
      <c r="Q863" t="s">
        <v>1110</v>
      </c>
    </row>
    <row r="864" spans="1:17">
      <c r="A864" s="2">
        <v>45885</v>
      </c>
      <c r="B864">
        <v>4</v>
      </c>
      <c r="C864">
        <v>3</v>
      </c>
      <c r="D864" t="s">
        <v>18</v>
      </c>
      <c r="E864" t="s">
        <v>91</v>
      </c>
      <c r="F864" t="s">
        <v>916</v>
      </c>
      <c r="G864">
        <v>1</v>
      </c>
      <c r="H864">
        <v>0</v>
      </c>
      <c r="I864">
        <v>2</v>
      </c>
      <c r="J864" t="s">
        <v>1230</v>
      </c>
      <c r="L864">
        <v>34</v>
      </c>
      <c r="N864" t="s">
        <v>1107</v>
      </c>
      <c r="O864">
        <v>84.9</v>
      </c>
      <c r="P864">
        <v>8</v>
      </c>
      <c r="Q864" t="s">
        <v>1110</v>
      </c>
    </row>
    <row r="865" spans="1:17">
      <c r="A865" s="2">
        <v>45885</v>
      </c>
      <c r="B865">
        <v>4</v>
      </c>
      <c r="C865">
        <v>4</v>
      </c>
      <c r="D865" t="s">
        <v>19</v>
      </c>
      <c r="E865" t="s">
        <v>92</v>
      </c>
      <c r="F865" t="s">
        <v>917</v>
      </c>
      <c r="G865">
        <v>0</v>
      </c>
      <c r="H865">
        <v>1</v>
      </c>
      <c r="I865">
        <v>1</v>
      </c>
      <c r="J865" t="s">
        <v>1230</v>
      </c>
      <c r="L865">
        <v>34</v>
      </c>
      <c r="M865">
        <v>8.1</v>
      </c>
      <c r="N865" t="s">
        <v>1107</v>
      </c>
      <c r="O865">
        <v>82.8</v>
      </c>
      <c r="P865">
        <v>5.03</v>
      </c>
      <c r="Q865" t="s">
        <v>1110</v>
      </c>
    </row>
    <row r="866" spans="1:17">
      <c r="A866" s="2">
        <v>45885</v>
      </c>
      <c r="B866">
        <v>4</v>
      </c>
      <c r="C866">
        <v>5</v>
      </c>
      <c r="D866" t="s">
        <v>1115</v>
      </c>
      <c r="E866" t="s">
        <v>93</v>
      </c>
      <c r="F866" t="s">
        <v>918</v>
      </c>
      <c r="G866">
        <v>2</v>
      </c>
      <c r="H866">
        <v>0</v>
      </c>
      <c r="I866">
        <v>3</v>
      </c>
      <c r="J866" t="s">
        <v>1230</v>
      </c>
      <c r="L866">
        <v>34</v>
      </c>
      <c r="N866" t="s">
        <v>1107</v>
      </c>
      <c r="O866">
        <v>79.599999999999994</v>
      </c>
      <c r="P866">
        <v>6.21</v>
      </c>
      <c r="Q866" t="s">
        <v>1110</v>
      </c>
    </row>
    <row r="867" spans="1:17">
      <c r="A867" s="2">
        <v>45885</v>
      </c>
      <c r="B867">
        <v>4</v>
      </c>
      <c r="C867">
        <v>6</v>
      </c>
      <c r="D867" t="s">
        <v>1270</v>
      </c>
      <c r="E867" t="s">
        <v>94</v>
      </c>
      <c r="F867" t="s">
        <v>919</v>
      </c>
      <c r="G867">
        <v>5</v>
      </c>
      <c r="H867">
        <v>3</v>
      </c>
      <c r="I867">
        <v>5</v>
      </c>
      <c r="J867" t="s">
        <v>1230</v>
      </c>
      <c r="L867">
        <v>34</v>
      </c>
      <c r="M867">
        <v>8.9</v>
      </c>
      <c r="N867" t="s">
        <v>1107</v>
      </c>
      <c r="O867">
        <v>76.400000000000006</v>
      </c>
      <c r="P867">
        <v>6.42</v>
      </c>
      <c r="Q867" t="s">
        <v>1110</v>
      </c>
    </row>
    <row r="868" spans="1:17">
      <c r="A868" s="2">
        <v>45885</v>
      </c>
      <c r="B868">
        <v>4</v>
      </c>
      <c r="C868">
        <v>7</v>
      </c>
      <c r="D868" t="s">
        <v>1114</v>
      </c>
      <c r="E868" t="s">
        <v>95</v>
      </c>
      <c r="F868" t="s">
        <v>920</v>
      </c>
      <c r="G868">
        <v>7</v>
      </c>
      <c r="H868">
        <v>3</v>
      </c>
      <c r="I868">
        <v>9</v>
      </c>
      <c r="J868" t="s">
        <v>1230</v>
      </c>
      <c r="L868">
        <v>34</v>
      </c>
      <c r="M868">
        <v>7.4</v>
      </c>
      <c r="N868" t="s">
        <v>1107</v>
      </c>
      <c r="O868">
        <v>63.7</v>
      </c>
      <c r="P868">
        <v>6.19</v>
      </c>
      <c r="Q868" t="s">
        <v>1110</v>
      </c>
    </row>
    <row r="869" spans="1:17">
      <c r="A869" s="2">
        <v>45885</v>
      </c>
      <c r="B869">
        <v>4</v>
      </c>
      <c r="C869">
        <v>8</v>
      </c>
      <c r="D869" t="s">
        <v>1271</v>
      </c>
      <c r="E869" t="s">
        <v>96</v>
      </c>
      <c r="F869" t="s">
        <v>670</v>
      </c>
      <c r="G869">
        <v>6</v>
      </c>
      <c r="H869">
        <v>3</v>
      </c>
      <c r="I869">
        <v>12</v>
      </c>
      <c r="J869" t="s">
        <v>1230</v>
      </c>
      <c r="L869">
        <v>34</v>
      </c>
      <c r="N869" t="s">
        <v>1107</v>
      </c>
      <c r="O869">
        <v>71.900000000000006</v>
      </c>
      <c r="P869">
        <v>6.55</v>
      </c>
      <c r="Q869" t="s">
        <v>1110</v>
      </c>
    </row>
    <row r="870" spans="1:17">
      <c r="A870" s="2">
        <v>45885</v>
      </c>
      <c r="B870">
        <v>4</v>
      </c>
      <c r="C870">
        <v>9</v>
      </c>
      <c r="D870" t="s">
        <v>20</v>
      </c>
      <c r="E870" t="s">
        <v>97</v>
      </c>
      <c r="F870" t="s">
        <v>921</v>
      </c>
      <c r="G870">
        <v>8</v>
      </c>
      <c r="H870">
        <v>5</v>
      </c>
      <c r="I870">
        <v>15</v>
      </c>
      <c r="J870" t="s">
        <v>1230</v>
      </c>
      <c r="L870">
        <v>34</v>
      </c>
      <c r="M870">
        <v>7.5</v>
      </c>
      <c r="N870" t="s">
        <v>1107</v>
      </c>
      <c r="O870">
        <v>78.099999999999994</v>
      </c>
      <c r="P870">
        <v>6.38</v>
      </c>
      <c r="Q870" t="s">
        <v>1110</v>
      </c>
    </row>
    <row r="871" spans="1:17">
      <c r="A871" s="2">
        <v>45885</v>
      </c>
      <c r="B871">
        <v>4</v>
      </c>
      <c r="C871">
        <v>10</v>
      </c>
      <c r="D871" t="s">
        <v>1113</v>
      </c>
      <c r="E871" t="s">
        <v>98</v>
      </c>
      <c r="F871" t="s">
        <v>922</v>
      </c>
      <c r="G871">
        <v>1</v>
      </c>
      <c r="H871">
        <v>2</v>
      </c>
      <c r="I871">
        <v>14</v>
      </c>
      <c r="J871" t="s">
        <v>1230</v>
      </c>
      <c r="L871">
        <v>34</v>
      </c>
      <c r="M871">
        <v>7.7</v>
      </c>
      <c r="N871" t="s">
        <v>1107</v>
      </c>
      <c r="O871">
        <v>64.7</v>
      </c>
      <c r="P871">
        <v>7.31</v>
      </c>
      <c r="Q871" t="s">
        <v>1110</v>
      </c>
    </row>
    <row r="872" spans="1:17">
      <c r="A872" s="2">
        <v>45885</v>
      </c>
      <c r="B872">
        <v>4</v>
      </c>
      <c r="C872">
        <v>11</v>
      </c>
      <c r="D872" t="s">
        <v>1272</v>
      </c>
      <c r="E872" t="s">
        <v>99</v>
      </c>
      <c r="F872" t="s">
        <v>923</v>
      </c>
      <c r="G872">
        <v>3</v>
      </c>
      <c r="H872">
        <v>4</v>
      </c>
      <c r="I872">
        <v>13</v>
      </c>
      <c r="J872" t="s">
        <v>1230</v>
      </c>
      <c r="L872">
        <v>34</v>
      </c>
      <c r="M872">
        <v>10</v>
      </c>
      <c r="N872" t="s">
        <v>1107</v>
      </c>
      <c r="O872">
        <v>71.2</v>
      </c>
      <c r="P872">
        <v>6.68</v>
      </c>
      <c r="Q872" t="s">
        <v>1110</v>
      </c>
    </row>
    <row r="873" spans="1:17">
      <c r="A873" s="2">
        <v>45885</v>
      </c>
      <c r="B873">
        <v>4</v>
      </c>
      <c r="C873">
        <v>12</v>
      </c>
      <c r="D873" t="s">
        <v>21</v>
      </c>
      <c r="E873" t="s">
        <v>100</v>
      </c>
      <c r="F873" t="s">
        <v>100</v>
      </c>
      <c r="G873">
        <v>1</v>
      </c>
      <c r="H873">
        <v>5</v>
      </c>
      <c r="I873">
        <v>9</v>
      </c>
      <c r="J873" t="s">
        <v>1230</v>
      </c>
      <c r="L873">
        <v>34</v>
      </c>
      <c r="M873">
        <v>9.8000000000000007</v>
      </c>
      <c r="N873" t="s">
        <v>1107</v>
      </c>
      <c r="O873">
        <v>63.2</v>
      </c>
      <c r="P873">
        <v>7.83</v>
      </c>
      <c r="Q873" t="s">
        <v>1110</v>
      </c>
    </row>
    <row r="874" spans="1:17">
      <c r="A874" s="2">
        <v>45885</v>
      </c>
      <c r="B874">
        <v>4</v>
      </c>
      <c r="C874">
        <v>13</v>
      </c>
      <c r="D874" t="s">
        <v>22</v>
      </c>
      <c r="E874" t="s">
        <v>101</v>
      </c>
      <c r="F874" t="s">
        <v>805</v>
      </c>
      <c r="G874">
        <v>2</v>
      </c>
      <c r="H874">
        <v>0</v>
      </c>
      <c r="I874">
        <v>11</v>
      </c>
      <c r="J874" t="s">
        <v>1230</v>
      </c>
      <c r="L874">
        <v>34</v>
      </c>
      <c r="N874" t="s">
        <v>1107</v>
      </c>
      <c r="O874">
        <v>80.900000000000006</v>
      </c>
      <c r="P874">
        <v>6.02</v>
      </c>
      <c r="Q874" t="s">
        <v>1110</v>
      </c>
    </row>
    <row r="875" spans="1:17">
      <c r="A875" s="2">
        <v>45885</v>
      </c>
      <c r="B875">
        <v>4</v>
      </c>
      <c r="C875">
        <v>14</v>
      </c>
      <c r="D875" t="s">
        <v>23</v>
      </c>
      <c r="E875" t="s">
        <v>102</v>
      </c>
      <c r="F875" t="s">
        <v>924</v>
      </c>
      <c r="G875">
        <v>4</v>
      </c>
      <c r="H875">
        <v>5</v>
      </c>
      <c r="I875">
        <v>10</v>
      </c>
      <c r="J875" t="s">
        <v>1230</v>
      </c>
      <c r="L875">
        <v>34</v>
      </c>
      <c r="M875">
        <v>10</v>
      </c>
      <c r="N875" t="s">
        <v>1107</v>
      </c>
      <c r="O875">
        <v>70.099999999999994</v>
      </c>
      <c r="P875">
        <v>7.34</v>
      </c>
      <c r="Q875" t="s">
        <v>1110</v>
      </c>
    </row>
    <row r="876" spans="1:17">
      <c r="A876" s="2">
        <v>45885</v>
      </c>
      <c r="B876">
        <v>4</v>
      </c>
      <c r="C876">
        <v>15</v>
      </c>
      <c r="D876" t="s">
        <v>24</v>
      </c>
      <c r="E876" t="s">
        <v>103</v>
      </c>
      <c r="F876" t="s">
        <v>925</v>
      </c>
      <c r="G876">
        <v>1</v>
      </c>
      <c r="H876">
        <v>3</v>
      </c>
      <c r="I876">
        <v>8</v>
      </c>
      <c r="J876" t="s">
        <v>1230</v>
      </c>
      <c r="L876">
        <v>34</v>
      </c>
      <c r="M876">
        <v>9.9</v>
      </c>
      <c r="N876" t="s">
        <v>1107</v>
      </c>
      <c r="O876">
        <v>60.6</v>
      </c>
      <c r="P876">
        <v>7.36</v>
      </c>
      <c r="Q876" t="s">
        <v>1111</v>
      </c>
    </row>
    <row r="877" spans="1:17">
      <c r="A877" s="2">
        <v>45885</v>
      </c>
      <c r="B877">
        <v>4</v>
      </c>
      <c r="C877">
        <v>16</v>
      </c>
      <c r="D877" t="s">
        <v>1273</v>
      </c>
      <c r="E877" t="s">
        <v>104</v>
      </c>
      <c r="F877" t="s">
        <v>926</v>
      </c>
      <c r="G877">
        <v>1</v>
      </c>
      <c r="H877">
        <v>2</v>
      </c>
      <c r="I877">
        <v>7</v>
      </c>
      <c r="J877" t="s">
        <v>1230</v>
      </c>
      <c r="L877">
        <v>34</v>
      </c>
      <c r="N877" t="s">
        <v>1107</v>
      </c>
      <c r="O877">
        <v>83.8</v>
      </c>
      <c r="P877">
        <v>5.99</v>
      </c>
      <c r="Q877" t="s">
        <v>1110</v>
      </c>
    </row>
    <row r="878" spans="1:17">
      <c r="A878" s="2">
        <v>45885</v>
      </c>
      <c r="B878">
        <v>4</v>
      </c>
      <c r="C878">
        <v>17</v>
      </c>
      <c r="D878" t="s">
        <v>25</v>
      </c>
      <c r="E878" t="s">
        <v>105</v>
      </c>
      <c r="F878" t="s">
        <v>927</v>
      </c>
      <c r="G878">
        <v>0</v>
      </c>
      <c r="H878">
        <v>5</v>
      </c>
      <c r="I878">
        <v>2</v>
      </c>
      <c r="J878" t="s">
        <v>1230</v>
      </c>
      <c r="K878" t="s">
        <v>1104</v>
      </c>
      <c r="L878">
        <v>34</v>
      </c>
      <c r="M878">
        <v>5.2</v>
      </c>
      <c r="N878" t="s">
        <v>1107</v>
      </c>
      <c r="O878">
        <v>75.2</v>
      </c>
      <c r="P878">
        <v>7.6</v>
      </c>
      <c r="Q878" t="s">
        <v>1112</v>
      </c>
    </row>
    <row r="879" spans="1:17">
      <c r="A879" s="2">
        <v>45885</v>
      </c>
      <c r="B879">
        <v>4</v>
      </c>
      <c r="C879">
        <v>18</v>
      </c>
      <c r="D879" t="s">
        <v>26</v>
      </c>
      <c r="E879" t="s">
        <v>106</v>
      </c>
      <c r="F879" t="s">
        <v>928</v>
      </c>
      <c r="G879">
        <v>3</v>
      </c>
      <c r="H879">
        <v>2</v>
      </c>
      <c r="I879">
        <v>3</v>
      </c>
      <c r="J879" t="s">
        <v>1230</v>
      </c>
      <c r="K879" t="s">
        <v>1104</v>
      </c>
      <c r="L879">
        <v>34</v>
      </c>
      <c r="M879">
        <v>5.3</v>
      </c>
      <c r="N879" t="s">
        <v>1107</v>
      </c>
      <c r="O879">
        <v>69.8</v>
      </c>
      <c r="P879">
        <v>6.6</v>
      </c>
      <c r="Q879" t="s">
        <v>1110</v>
      </c>
    </row>
    <row r="880" spans="1:17">
      <c r="A880" s="2">
        <v>45885</v>
      </c>
      <c r="B880">
        <v>4</v>
      </c>
      <c r="C880">
        <v>19</v>
      </c>
      <c r="D880" t="s">
        <v>27</v>
      </c>
      <c r="E880" t="s">
        <v>107</v>
      </c>
      <c r="F880" t="s">
        <v>929</v>
      </c>
      <c r="G880">
        <v>1</v>
      </c>
      <c r="H880">
        <v>0</v>
      </c>
      <c r="I880">
        <v>4</v>
      </c>
      <c r="J880" t="s">
        <v>1230</v>
      </c>
      <c r="K880" t="s">
        <v>1104</v>
      </c>
      <c r="L880">
        <v>34</v>
      </c>
      <c r="N880" t="s">
        <v>1107</v>
      </c>
      <c r="O880">
        <v>74.2</v>
      </c>
      <c r="P880">
        <v>6.35</v>
      </c>
      <c r="Q880" t="s">
        <v>1111</v>
      </c>
    </row>
    <row r="881" spans="1:17">
      <c r="A881" s="2">
        <v>45885</v>
      </c>
      <c r="B881">
        <v>4</v>
      </c>
      <c r="C881">
        <v>20</v>
      </c>
      <c r="D881" t="s">
        <v>28</v>
      </c>
      <c r="E881" t="s">
        <v>108</v>
      </c>
      <c r="F881" t="s">
        <v>930</v>
      </c>
      <c r="G881">
        <v>4</v>
      </c>
      <c r="H881">
        <v>0</v>
      </c>
      <c r="I881">
        <v>8</v>
      </c>
      <c r="J881" t="s">
        <v>1230</v>
      </c>
      <c r="K881" t="s">
        <v>1104</v>
      </c>
      <c r="L881">
        <v>34</v>
      </c>
      <c r="N881" t="s">
        <v>1107</v>
      </c>
      <c r="O881">
        <v>62.6</v>
      </c>
      <c r="P881">
        <v>6.66</v>
      </c>
      <c r="Q881" t="s">
        <v>1110</v>
      </c>
    </row>
    <row r="882" spans="1:17">
      <c r="A882" s="2">
        <v>45885</v>
      </c>
      <c r="B882">
        <v>5</v>
      </c>
      <c r="C882">
        <v>1</v>
      </c>
      <c r="D882" t="s">
        <v>17</v>
      </c>
      <c r="E882" t="s">
        <v>109</v>
      </c>
      <c r="F882" t="s">
        <v>931</v>
      </c>
      <c r="G882">
        <v>0</v>
      </c>
      <c r="H882">
        <v>0</v>
      </c>
      <c r="I882">
        <v>0</v>
      </c>
      <c r="J882" t="s">
        <v>1230</v>
      </c>
      <c r="L882">
        <v>35</v>
      </c>
      <c r="N882" t="s">
        <v>1107</v>
      </c>
      <c r="O882">
        <v>72.2</v>
      </c>
      <c r="P882">
        <v>5.56</v>
      </c>
      <c r="Q882" t="s">
        <v>1110</v>
      </c>
    </row>
    <row r="883" spans="1:17">
      <c r="A883" s="2">
        <v>45885</v>
      </c>
      <c r="B883">
        <v>5</v>
      </c>
      <c r="C883">
        <v>2</v>
      </c>
      <c r="D883" t="s">
        <v>1269</v>
      </c>
      <c r="E883" t="s">
        <v>110</v>
      </c>
      <c r="F883" t="s">
        <v>932</v>
      </c>
      <c r="G883">
        <v>1</v>
      </c>
      <c r="H883">
        <v>0</v>
      </c>
      <c r="I883">
        <v>1</v>
      </c>
      <c r="J883" t="s">
        <v>1230</v>
      </c>
      <c r="L883">
        <v>35</v>
      </c>
      <c r="N883" t="s">
        <v>1109</v>
      </c>
      <c r="O883">
        <v>67.099999999999994</v>
      </c>
      <c r="P883">
        <v>5.7</v>
      </c>
      <c r="Q883" t="s">
        <v>1110</v>
      </c>
    </row>
    <row r="884" spans="1:17">
      <c r="A884" s="2">
        <v>45885</v>
      </c>
      <c r="B884">
        <v>5</v>
      </c>
      <c r="C884">
        <v>3</v>
      </c>
      <c r="D884" t="s">
        <v>18</v>
      </c>
      <c r="E884" t="s">
        <v>111</v>
      </c>
      <c r="F884" t="s">
        <v>933</v>
      </c>
      <c r="G884">
        <v>3</v>
      </c>
      <c r="H884">
        <v>1</v>
      </c>
      <c r="I884">
        <v>3</v>
      </c>
      <c r="J884" t="s">
        <v>1230</v>
      </c>
      <c r="L884">
        <v>35</v>
      </c>
      <c r="M884">
        <v>7.1</v>
      </c>
      <c r="N884" t="s">
        <v>1107</v>
      </c>
      <c r="O884">
        <v>61.4</v>
      </c>
      <c r="P884">
        <v>6.56</v>
      </c>
      <c r="Q884" t="s">
        <v>1110</v>
      </c>
    </row>
    <row r="885" spans="1:17">
      <c r="A885" s="2">
        <v>45885</v>
      </c>
      <c r="B885">
        <v>5</v>
      </c>
      <c r="C885">
        <v>4</v>
      </c>
      <c r="D885" t="s">
        <v>19</v>
      </c>
      <c r="E885" t="s">
        <v>112</v>
      </c>
      <c r="F885" t="s">
        <v>934</v>
      </c>
      <c r="G885">
        <v>0</v>
      </c>
      <c r="H885">
        <v>1</v>
      </c>
      <c r="I885">
        <v>2</v>
      </c>
      <c r="J885" t="s">
        <v>1230</v>
      </c>
      <c r="L885">
        <v>35</v>
      </c>
      <c r="N885" t="s">
        <v>1107</v>
      </c>
      <c r="O885">
        <v>70.3</v>
      </c>
      <c r="P885">
        <v>5.47</v>
      </c>
      <c r="Q885" t="s">
        <v>1110</v>
      </c>
    </row>
    <row r="886" spans="1:17">
      <c r="A886" s="2">
        <v>45885</v>
      </c>
      <c r="B886">
        <v>5</v>
      </c>
      <c r="C886">
        <v>5</v>
      </c>
      <c r="D886" t="s">
        <v>1115</v>
      </c>
      <c r="E886" t="s">
        <v>113</v>
      </c>
      <c r="F886" t="s">
        <v>935</v>
      </c>
      <c r="G886">
        <v>1</v>
      </c>
      <c r="H886">
        <v>1</v>
      </c>
      <c r="I886">
        <v>2</v>
      </c>
      <c r="J886" t="s">
        <v>1230</v>
      </c>
      <c r="L886">
        <v>35</v>
      </c>
      <c r="M886">
        <v>6.4</v>
      </c>
      <c r="N886" t="s">
        <v>1107</v>
      </c>
      <c r="O886">
        <v>72</v>
      </c>
      <c r="P886">
        <v>5.21</v>
      </c>
      <c r="Q886" t="s">
        <v>1112</v>
      </c>
    </row>
    <row r="887" spans="1:17">
      <c r="A887" s="2">
        <v>45885</v>
      </c>
      <c r="B887">
        <v>5</v>
      </c>
      <c r="C887">
        <v>6</v>
      </c>
      <c r="D887" t="s">
        <v>1270</v>
      </c>
      <c r="E887" t="s">
        <v>114</v>
      </c>
      <c r="F887" t="s">
        <v>936</v>
      </c>
      <c r="G887">
        <v>4</v>
      </c>
      <c r="H887">
        <v>2</v>
      </c>
      <c r="I887">
        <v>4</v>
      </c>
      <c r="J887" t="s">
        <v>1230</v>
      </c>
      <c r="L887">
        <v>35</v>
      </c>
      <c r="M887">
        <v>6.5</v>
      </c>
      <c r="N887" t="s">
        <v>1107</v>
      </c>
      <c r="O887">
        <v>63.2</v>
      </c>
      <c r="P887">
        <v>5.62</v>
      </c>
      <c r="Q887" t="s">
        <v>1110</v>
      </c>
    </row>
    <row r="888" spans="1:17">
      <c r="A888" s="2">
        <v>45885</v>
      </c>
      <c r="B888">
        <v>5</v>
      </c>
      <c r="C888">
        <v>7</v>
      </c>
      <c r="D888" t="s">
        <v>1114</v>
      </c>
      <c r="E888" t="s">
        <v>115</v>
      </c>
      <c r="F888" t="s">
        <v>937</v>
      </c>
      <c r="G888">
        <v>5</v>
      </c>
      <c r="H888">
        <v>4</v>
      </c>
      <c r="I888">
        <v>5</v>
      </c>
      <c r="J888" t="s">
        <v>1230</v>
      </c>
      <c r="L888">
        <v>35</v>
      </c>
      <c r="M888">
        <v>7.1</v>
      </c>
      <c r="N888" t="s">
        <v>1107</v>
      </c>
      <c r="O888">
        <v>71.900000000000006</v>
      </c>
      <c r="P888">
        <v>6.81</v>
      </c>
      <c r="Q888" t="s">
        <v>1111</v>
      </c>
    </row>
    <row r="889" spans="1:17">
      <c r="A889" s="2">
        <v>45885</v>
      </c>
      <c r="B889">
        <v>5</v>
      </c>
      <c r="C889">
        <v>8</v>
      </c>
      <c r="D889" t="s">
        <v>1271</v>
      </c>
      <c r="E889" t="s">
        <v>116</v>
      </c>
      <c r="F889" t="s">
        <v>116</v>
      </c>
      <c r="G889">
        <v>2</v>
      </c>
      <c r="H889">
        <v>1</v>
      </c>
      <c r="I889">
        <v>6</v>
      </c>
      <c r="J889" t="s">
        <v>1230</v>
      </c>
      <c r="L889">
        <v>35</v>
      </c>
      <c r="M889">
        <v>8.1</v>
      </c>
      <c r="N889" t="s">
        <v>1107</v>
      </c>
      <c r="O889">
        <v>72.599999999999994</v>
      </c>
      <c r="P889">
        <v>7.05</v>
      </c>
      <c r="Q889" t="s">
        <v>1110</v>
      </c>
    </row>
    <row r="890" spans="1:17">
      <c r="A890" s="2">
        <v>45885</v>
      </c>
      <c r="B890">
        <v>5</v>
      </c>
      <c r="C890">
        <v>9</v>
      </c>
      <c r="D890" t="s">
        <v>20</v>
      </c>
      <c r="E890" t="s">
        <v>117</v>
      </c>
      <c r="F890" t="s">
        <v>938</v>
      </c>
      <c r="G890">
        <v>4</v>
      </c>
      <c r="H890">
        <v>5</v>
      </c>
      <c r="I890">
        <v>5</v>
      </c>
      <c r="J890" t="s">
        <v>1230</v>
      </c>
      <c r="L890">
        <v>35</v>
      </c>
      <c r="M890">
        <v>8</v>
      </c>
      <c r="N890" t="s">
        <v>1107</v>
      </c>
      <c r="O890">
        <v>63.6</v>
      </c>
      <c r="P890">
        <v>5.19</v>
      </c>
      <c r="Q890" t="s">
        <v>1110</v>
      </c>
    </row>
    <row r="891" spans="1:17">
      <c r="A891" s="2">
        <v>45885</v>
      </c>
      <c r="B891">
        <v>5</v>
      </c>
      <c r="C891">
        <v>10</v>
      </c>
      <c r="D891" t="s">
        <v>1113</v>
      </c>
      <c r="E891" t="s">
        <v>118</v>
      </c>
      <c r="F891" t="s">
        <v>939</v>
      </c>
      <c r="G891">
        <v>2</v>
      </c>
      <c r="H891">
        <v>2</v>
      </c>
      <c r="I891">
        <v>5</v>
      </c>
      <c r="J891" t="s">
        <v>1230</v>
      </c>
      <c r="L891">
        <v>35</v>
      </c>
      <c r="M891">
        <v>7.9</v>
      </c>
      <c r="N891" t="s">
        <v>1107</v>
      </c>
      <c r="O891">
        <v>73.099999999999994</v>
      </c>
      <c r="P891">
        <v>7.73</v>
      </c>
      <c r="Q891" t="s">
        <v>1111</v>
      </c>
    </row>
    <row r="892" spans="1:17">
      <c r="A892" s="2">
        <v>45885</v>
      </c>
      <c r="B892">
        <v>5</v>
      </c>
      <c r="C892">
        <v>11</v>
      </c>
      <c r="D892" t="s">
        <v>1272</v>
      </c>
      <c r="E892" t="s">
        <v>119</v>
      </c>
      <c r="F892" t="s">
        <v>940</v>
      </c>
      <c r="G892">
        <v>5</v>
      </c>
      <c r="H892">
        <v>4</v>
      </c>
      <c r="I892">
        <v>6</v>
      </c>
      <c r="J892" t="s">
        <v>1230</v>
      </c>
      <c r="L892">
        <v>35</v>
      </c>
      <c r="M892">
        <v>7.7</v>
      </c>
      <c r="N892" t="s">
        <v>1107</v>
      </c>
      <c r="O892">
        <v>74.400000000000006</v>
      </c>
      <c r="P892">
        <v>7.21</v>
      </c>
      <c r="Q892" t="s">
        <v>1110</v>
      </c>
    </row>
    <row r="893" spans="1:17">
      <c r="A893" s="2">
        <v>45885</v>
      </c>
      <c r="B893">
        <v>5</v>
      </c>
      <c r="C893">
        <v>12</v>
      </c>
      <c r="D893" t="s">
        <v>21</v>
      </c>
      <c r="E893" t="s">
        <v>120</v>
      </c>
      <c r="F893" t="s">
        <v>941</v>
      </c>
      <c r="G893">
        <v>5</v>
      </c>
      <c r="H893">
        <v>5</v>
      </c>
      <c r="I893">
        <v>6</v>
      </c>
      <c r="J893" t="s">
        <v>1230</v>
      </c>
      <c r="L893">
        <v>35</v>
      </c>
      <c r="M893">
        <v>7.6</v>
      </c>
      <c r="N893" t="s">
        <v>1107</v>
      </c>
      <c r="O893">
        <v>71.400000000000006</v>
      </c>
      <c r="P893">
        <v>7.1</v>
      </c>
      <c r="Q893" t="s">
        <v>1110</v>
      </c>
    </row>
    <row r="894" spans="1:17">
      <c r="A894" s="2">
        <v>45885</v>
      </c>
      <c r="B894">
        <v>5</v>
      </c>
      <c r="C894">
        <v>13</v>
      </c>
      <c r="D894" t="s">
        <v>22</v>
      </c>
      <c r="E894" t="s">
        <v>121</v>
      </c>
      <c r="F894" t="s">
        <v>942</v>
      </c>
      <c r="G894">
        <v>0</v>
      </c>
      <c r="H894">
        <v>3</v>
      </c>
      <c r="I894">
        <v>3</v>
      </c>
      <c r="J894" t="s">
        <v>1230</v>
      </c>
      <c r="L894">
        <v>35</v>
      </c>
      <c r="M894">
        <v>8</v>
      </c>
      <c r="N894" t="s">
        <v>1107</v>
      </c>
      <c r="O894">
        <v>75.3</v>
      </c>
      <c r="P894">
        <v>7.43</v>
      </c>
      <c r="Q894" t="s">
        <v>1110</v>
      </c>
    </row>
    <row r="895" spans="1:17">
      <c r="A895" s="2">
        <v>45885</v>
      </c>
      <c r="B895">
        <v>5</v>
      </c>
      <c r="C895">
        <v>14</v>
      </c>
      <c r="D895" t="s">
        <v>23</v>
      </c>
      <c r="E895" t="s">
        <v>122</v>
      </c>
      <c r="F895" t="s">
        <v>943</v>
      </c>
      <c r="G895">
        <v>4</v>
      </c>
      <c r="H895">
        <v>3</v>
      </c>
      <c r="I895">
        <v>4</v>
      </c>
      <c r="J895" t="s">
        <v>1230</v>
      </c>
      <c r="L895">
        <v>35</v>
      </c>
      <c r="M895">
        <v>7.2</v>
      </c>
      <c r="N895" t="s">
        <v>1107</v>
      </c>
      <c r="O895">
        <v>82.5</v>
      </c>
      <c r="P895">
        <v>7.2</v>
      </c>
      <c r="Q895" t="s">
        <v>1110</v>
      </c>
    </row>
    <row r="896" spans="1:17">
      <c r="A896" s="2">
        <v>45885</v>
      </c>
      <c r="B896">
        <v>5</v>
      </c>
      <c r="C896">
        <v>15</v>
      </c>
      <c r="D896" t="s">
        <v>24</v>
      </c>
      <c r="E896" t="s">
        <v>123</v>
      </c>
      <c r="F896" t="s">
        <v>944</v>
      </c>
      <c r="G896">
        <v>3</v>
      </c>
      <c r="H896">
        <v>3</v>
      </c>
      <c r="I896">
        <v>4</v>
      </c>
      <c r="J896" t="s">
        <v>1230</v>
      </c>
      <c r="L896">
        <v>35</v>
      </c>
      <c r="M896">
        <v>7.7</v>
      </c>
      <c r="N896" t="s">
        <v>1108</v>
      </c>
      <c r="O896">
        <v>64.599999999999994</v>
      </c>
      <c r="P896">
        <v>6.71</v>
      </c>
      <c r="Q896" t="s">
        <v>1110</v>
      </c>
    </row>
    <row r="897" spans="1:17">
      <c r="A897" s="2">
        <v>45885</v>
      </c>
      <c r="B897">
        <v>5</v>
      </c>
      <c r="C897">
        <v>16</v>
      </c>
      <c r="D897" t="s">
        <v>1273</v>
      </c>
      <c r="E897" t="s">
        <v>124</v>
      </c>
      <c r="F897" t="s">
        <v>945</v>
      </c>
      <c r="G897">
        <v>1</v>
      </c>
      <c r="H897">
        <v>3</v>
      </c>
      <c r="I897">
        <v>2</v>
      </c>
      <c r="J897" t="s">
        <v>1230</v>
      </c>
      <c r="L897">
        <v>35</v>
      </c>
      <c r="N897" t="s">
        <v>1108</v>
      </c>
      <c r="O897">
        <v>66</v>
      </c>
      <c r="P897">
        <v>7.61</v>
      </c>
      <c r="Q897" t="s">
        <v>1110</v>
      </c>
    </row>
    <row r="898" spans="1:17">
      <c r="A898" s="2">
        <v>45885</v>
      </c>
      <c r="B898">
        <v>5</v>
      </c>
      <c r="C898">
        <v>17</v>
      </c>
      <c r="D898" t="s">
        <v>25</v>
      </c>
      <c r="E898" t="s">
        <v>125</v>
      </c>
      <c r="F898" t="s">
        <v>946</v>
      </c>
      <c r="G898">
        <v>1</v>
      </c>
      <c r="H898">
        <v>1</v>
      </c>
      <c r="I898">
        <v>2</v>
      </c>
      <c r="J898" t="s">
        <v>1230</v>
      </c>
      <c r="K898" t="s">
        <v>1104</v>
      </c>
      <c r="L898">
        <v>35</v>
      </c>
      <c r="M898">
        <v>4.0999999999999996</v>
      </c>
      <c r="N898" t="s">
        <v>1107</v>
      </c>
      <c r="O898">
        <v>67.3</v>
      </c>
      <c r="P898">
        <v>7.75</v>
      </c>
      <c r="Q898" t="s">
        <v>1110</v>
      </c>
    </row>
    <row r="899" spans="1:17">
      <c r="A899" s="2">
        <v>45885</v>
      </c>
      <c r="B899">
        <v>5</v>
      </c>
      <c r="C899">
        <v>18</v>
      </c>
      <c r="D899" t="s">
        <v>26</v>
      </c>
      <c r="E899" t="s">
        <v>126</v>
      </c>
      <c r="F899" t="s">
        <v>947</v>
      </c>
      <c r="G899">
        <v>5</v>
      </c>
      <c r="H899">
        <v>1</v>
      </c>
      <c r="I899">
        <v>6</v>
      </c>
      <c r="J899" t="s">
        <v>1230</v>
      </c>
      <c r="K899" t="s">
        <v>1104</v>
      </c>
      <c r="L899">
        <v>35</v>
      </c>
      <c r="M899">
        <v>4.3</v>
      </c>
      <c r="N899" t="s">
        <v>1107</v>
      </c>
      <c r="O899">
        <v>65.400000000000006</v>
      </c>
      <c r="P899">
        <v>6.48</v>
      </c>
      <c r="Q899" t="s">
        <v>1112</v>
      </c>
    </row>
    <row r="900" spans="1:17">
      <c r="A900" s="2">
        <v>45885</v>
      </c>
      <c r="B900">
        <v>5</v>
      </c>
      <c r="C900">
        <v>19</v>
      </c>
      <c r="D900" t="s">
        <v>27</v>
      </c>
      <c r="E900" t="s">
        <v>127</v>
      </c>
      <c r="F900" t="s">
        <v>948</v>
      </c>
      <c r="G900">
        <v>0</v>
      </c>
      <c r="H900">
        <v>3</v>
      </c>
      <c r="I900">
        <v>3</v>
      </c>
      <c r="J900" t="s">
        <v>1230</v>
      </c>
      <c r="K900" t="s">
        <v>1104</v>
      </c>
      <c r="L900">
        <v>35</v>
      </c>
      <c r="M900">
        <v>4.0999999999999996</v>
      </c>
      <c r="N900" t="s">
        <v>1107</v>
      </c>
      <c r="O900">
        <v>84.9</v>
      </c>
      <c r="P900">
        <v>5.23</v>
      </c>
      <c r="Q900" t="s">
        <v>1110</v>
      </c>
    </row>
    <row r="901" spans="1:17">
      <c r="A901" s="2">
        <v>45885</v>
      </c>
      <c r="B901">
        <v>5</v>
      </c>
      <c r="C901">
        <v>20</v>
      </c>
      <c r="D901" t="s">
        <v>28</v>
      </c>
      <c r="E901" t="s">
        <v>128</v>
      </c>
      <c r="F901" t="s">
        <v>949</v>
      </c>
      <c r="G901">
        <v>4</v>
      </c>
      <c r="H901">
        <v>3</v>
      </c>
      <c r="I901">
        <v>4</v>
      </c>
      <c r="J901" t="s">
        <v>1230</v>
      </c>
      <c r="K901" t="s">
        <v>1104</v>
      </c>
      <c r="L901">
        <v>35</v>
      </c>
      <c r="M901">
        <v>4.4000000000000004</v>
      </c>
      <c r="N901" t="s">
        <v>1107</v>
      </c>
      <c r="O901">
        <v>68.2</v>
      </c>
      <c r="P901">
        <v>6.35</v>
      </c>
      <c r="Q901" t="s">
        <v>1110</v>
      </c>
    </row>
    <row r="902" spans="1:17">
      <c r="A902" s="2">
        <v>45885</v>
      </c>
      <c r="B902">
        <v>6</v>
      </c>
      <c r="C902">
        <v>1</v>
      </c>
      <c r="D902" t="s">
        <v>17</v>
      </c>
      <c r="E902" t="s">
        <v>129</v>
      </c>
      <c r="F902" t="s">
        <v>950</v>
      </c>
      <c r="G902">
        <v>0</v>
      </c>
      <c r="H902">
        <v>0</v>
      </c>
      <c r="I902">
        <v>0</v>
      </c>
      <c r="J902" t="s">
        <v>1230</v>
      </c>
      <c r="L902">
        <v>36</v>
      </c>
      <c r="N902" t="s">
        <v>1107</v>
      </c>
      <c r="O902">
        <v>71.599999999999994</v>
      </c>
      <c r="P902">
        <v>5.22</v>
      </c>
      <c r="Q902" t="s">
        <v>1110</v>
      </c>
    </row>
    <row r="903" spans="1:17">
      <c r="A903" s="2">
        <v>45885</v>
      </c>
      <c r="B903">
        <v>6</v>
      </c>
      <c r="C903">
        <v>2</v>
      </c>
      <c r="D903" t="s">
        <v>1269</v>
      </c>
      <c r="E903" t="s">
        <v>130</v>
      </c>
      <c r="F903" t="s">
        <v>951</v>
      </c>
      <c r="G903">
        <v>5</v>
      </c>
      <c r="H903">
        <v>0</v>
      </c>
      <c r="I903">
        <v>5</v>
      </c>
      <c r="J903" t="s">
        <v>1230</v>
      </c>
      <c r="L903">
        <v>36</v>
      </c>
      <c r="N903" t="s">
        <v>1107</v>
      </c>
      <c r="O903">
        <v>69.5</v>
      </c>
      <c r="P903">
        <v>7.24</v>
      </c>
      <c r="Q903" t="s">
        <v>1111</v>
      </c>
    </row>
    <row r="904" spans="1:17">
      <c r="A904" s="2">
        <v>45885</v>
      </c>
      <c r="B904">
        <v>6</v>
      </c>
      <c r="C904">
        <v>3</v>
      </c>
      <c r="D904" t="s">
        <v>18</v>
      </c>
      <c r="E904" t="s">
        <v>131</v>
      </c>
      <c r="F904" t="s">
        <v>952</v>
      </c>
      <c r="G904">
        <v>2</v>
      </c>
      <c r="H904">
        <v>3</v>
      </c>
      <c r="I904">
        <v>4</v>
      </c>
      <c r="J904" t="s">
        <v>1230</v>
      </c>
      <c r="L904">
        <v>36</v>
      </c>
      <c r="M904" t="s">
        <v>1217</v>
      </c>
      <c r="N904" t="s">
        <v>1107</v>
      </c>
      <c r="O904">
        <v>60.3</v>
      </c>
      <c r="P904">
        <v>5.34</v>
      </c>
      <c r="Q904" t="s">
        <v>1111</v>
      </c>
    </row>
    <row r="905" spans="1:17">
      <c r="A905" s="2">
        <v>45885</v>
      </c>
      <c r="B905">
        <v>6</v>
      </c>
      <c r="C905">
        <v>4</v>
      </c>
      <c r="D905" t="s">
        <v>19</v>
      </c>
      <c r="E905" t="s">
        <v>132</v>
      </c>
      <c r="F905" t="s">
        <v>953</v>
      </c>
      <c r="G905">
        <v>0</v>
      </c>
      <c r="H905">
        <v>1</v>
      </c>
      <c r="I905">
        <v>3</v>
      </c>
      <c r="J905" t="s">
        <v>1230</v>
      </c>
      <c r="L905">
        <v>36</v>
      </c>
      <c r="M905" t="s">
        <v>1226</v>
      </c>
      <c r="N905" t="s">
        <v>1107</v>
      </c>
      <c r="O905">
        <v>78.7</v>
      </c>
      <c r="P905">
        <v>6.45</v>
      </c>
      <c r="Q905" t="s">
        <v>1110</v>
      </c>
    </row>
    <row r="906" spans="1:17">
      <c r="A906" s="2">
        <v>45885</v>
      </c>
      <c r="B906">
        <v>6</v>
      </c>
      <c r="C906">
        <v>5</v>
      </c>
      <c r="D906" t="s">
        <v>1115</v>
      </c>
      <c r="E906" t="s">
        <v>133</v>
      </c>
      <c r="F906" t="s">
        <v>954</v>
      </c>
      <c r="G906">
        <v>0</v>
      </c>
      <c r="H906">
        <v>0</v>
      </c>
      <c r="I906">
        <v>3</v>
      </c>
      <c r="J906" t="s">
        <v>1230</v>
      </c>
      <c r="L906">
        <v>36</v>
      </c>
      <c r="N906" t="s">
        <v>1107</v>
      </c>
      <c r="O906">
        <v>66.099999999999994</v>
      </c>
      <c r="P906">
        <v>7.85</v>
      </c>
      <c r="Q906" t="s">
        <v>1110</v>
      </c>
    </row>
    <row r="907" spans="1:17">
      <c r="A907" s="2">
        <v>45885</v>
      </c>
      <c r="B907">
        <v>6</v>
      </c>
      <c r="C907">
        <v>6</v>
      </c>
      <c r="D907" t="s">
        <v>1270</v>
      </c>
      <c r="E907" t="s">
        <v>134</v>
      </c>
      <c r="F907" t="s">
        <v>955</v>
      </c>
      <c r="G907">
        <v>3</v>
      </c>
      <c r="H907">
        <v>1</v>
      </c>
      <c r="I907">
        <v>5</v>
      </c>
      <c r="J907" t="s">
        <v>1230</v>
      </c>
      <c r="L907">
        <v>36</v>
      </c>
      <c r="M907" t="s">
        <v>1219</v>
      </c>
      <c r="N907" t="s">
        <v>1107</v>
      </c>
      <c r="O907">
        <v>81</v>
      </c>
      <c r="P907">
        <v>5.51</v>
      </c>
      <c r="Q907" t="s">
        <v>1110</v>
      </c>
    </row>
    <row r="908" spans="1:17">
      <c r="A908" s="2">
        <v>45885</v>
      </c>
      <c r="B908">
        <v>6</v>
      </c>
      <c r="C908">
        <v>7</v>
      </c>
      <c r="D908" t="s">
        <v>1114</v>
      </c>
      <c r="E908" t="s">
        <v>135</v>
      </c>
      <c r="F908" t="s">
        <v>420</v>
      </c>
      <c r="G908">
        <v>2</v>
      </c>
      <c r="H908">
        <v>2</v>
      </c>
      <c r="I908">
        <v>5</v>
      </c>
      <c r="J908" t="s">
        <v>1230</v>
      </c>
      <c r="L908">
        <v>36</v>
      </c>
      <c r="M908" t="s">
        <v>1205</v>
      </c>
      <c r="N908" t="s">
        <v>1107</v>
      </c>
      <c r="O908">
        <v>67.400000000000006</v>
      </c>
      <c r="P908">
        <v>6.6</v>
      </c>
      <c r="Q908" t="s">
        <v>1110</v>
      </c>
    </row>
    <row r="909" spans="1:17">
      <c r="A909" s="2">
        <v>45885</v>
      </c>
      <c r="B909">
        <v>6</v>
      </c>
      <c r="C909">
        <v>8</v>
      </c>
      <c r="D909" t="s">
        <v>1271</v>
      </c>
      <c r="E909" t="s">
        <v>136</v>
      </c>
      <c r="F909" t="s">
        <v>956</v>
      </c>
      <c r="G909">
        <v>1</v>
      </c>
      <c r="H909">
        <v>0</v>
      </c>
      <c r="I909">
        <v>6</v>
      </c>
      <c r="J909" t="s">
        <v>1230</v>
      </c>
      <c r="L909">
        <v>36</v>
      </c>
      <c r="N909" t="s">
        <v>1107</v>
      </c>
      <c r="O909">
        <v>79.099999999999994</v>
      </c>
      <c r="P909">
        <v>7.03</v>
      </c>
      <c r="Q909" t="s">
        <v>1110</v>
      </c>
    </row>
    <row r="910" spans="1:17">
      <c r="A910" s="2">
        <v>45885</v>
      </c>
      <c r="B910">
        <v>6</v>
      </c>
      <c r="C910">
        <v>9</v>
      </c>
      <c r="D910" t="s">
        <v>20</v>
      </c>
      <c r="E910" t="s">
        <v>137</v>
      </c>
      <c r="F910" t="s">
        <v>957</v>
      </c>
      <c r="G910">
        <v>0</v>
      </c>
      <c r="H910">
        <v>5</v>
      </c>
      <c r="I910">
        <v>1</v>
      </c>
      <c r="J910" t="s">
        <v>1230</v>
      </c>
      <c r="L910">
        <v>36</v>
      </c>
      <c r="M910" t="s">
        <v>1208</v>
      </c>
      <c r="N910" t="s">
        <v>1107</v>
      </c>
      <c r="O910">
        <v>65.400000000000006</v>
      </c>
      <c r="P910">
        <v>5.0999999999999996</v>
      </c>
      <c r="Q910" t="s">
        <v>1110</v>
      </c>
    </row>
    <row r="911" spans="1:17">
      <c r="A911" s="2">
        <v>45885</v>
      </c>
      <c r="B911">
        <v>6</v>
      </c>
      <c r="C911">
        <v>10</v>
      </c>
      <c r="D911" t="s">
        <v>1113</v>
      </c>
      <c r="E911" t="s">
        <v>138</v>
      </c>
      <c r="F911" t="s">
        <v>958</v>
      </c>
      <c r="G911">
        <v>0</v>
      </c>
      <c r="H911">
        <v>1</v>
      </c>
      <c r="I911">
        <v>0</v>
      </c>
      <c r="J911" t="s">
        <v>1231</v>
      </c>
      <c r="L911">
        <v>36</v>
      </c>
      <c r="M911" t="s">
        <v>1202</v>
      </c>
      <c r="N911" t="s">
        <v>1107</v>
      </c>
      <c r="O911">
        <v>92</v>
      </c>
      <c r="P911">
        <v>7.51</v>
      </c>
      <c r="Q911" t="s">
        <v>1111</v>
      </c>
    </row>
    <row r="912" spans="1:17">
      <c r="A912" s="2">
        <v>45885</v>
      </c>
      <c r="B912">
        <v>6</v>
      </c>
      <c r="C912">
        <v>11</v>
      </c>
      <c r="D912" t="s">
        <v>1272</v>
      </c>
      <c r="E912" t="s">
        <v>139</v>
      </c>
      <c r="G912">
        <v>0</v>
      </c>
      <c r="H912">
        <v>0</v>
      </c>
      <c r="I912">
        <v>0</v>
      </c>
      <c r="J912" t="s">
        <v>1231</v>
      </c>
      <c r="K912" t="s">
        <v>1105</v>
      </c>
      <c r="L912">
        <v>36</v>
      </c>
      <c r="N912" t="s">
        <v>1107</v>
      </c>
      <c r="O912">
        <v>92.2</v>
      </c>
      <c r="P912">
        <v>7.69</v>
      </c>
      <c r="Q912" t="s">
        <v>1110</v>
      </c>
    </row>
    <row r="913" spans="1:17">
      <c r="A913" s="2">
        <v>45885</v>
      </c>
      <c r="B913">
        <v>6</v>
      </c>
      <c r="C913">
        <v>12</v>
      </c>
      <c r="D913" t="s">
        <v>21</v>
      </c>
      <c r="E913" t="s">
        <v>140</v>
      </c>
      <c r="G913">
        <v>0</v>
      </c>
      <c r="H913">
        <v>0</v>
      </c>
      <c r="I913">
        <v>0</v>
      </c>
      <c r="J913" t="s">
        <v>1231</v>
      </c>
      <c r="K913" t="s">
        <v>1105</v>
      </c>
      <c r="L913">
        <v>36</v>
      </c>
      <c r="N913" t="s">
        <v>1107</v>
      </c>
      <c r="O913">
        <v>85.5</v>
      </c>
      <c r="P913">
        <v>5.01</v>
      </c>
      <c r="Q913" t="s">
        <v>1110</v>
      </c>
    </row>
    <row r="914" spans="1:17">
      <c r="A914" s="2">
        <v>45885</v>
      </c>
      <c r="B914">
        <v>6</v>
      </c>
      <c r="C914">
        <v>13</v>
      </c>
      <c r="D914" t="s">
        <v>22</v>
      </c>
      <c r="E914" t="s">
        <v>141</v>
      </c>
      <c r="G914">
        <v>0</v>
      </c>
      <c r="H914">
        <v>0</v>
      </c>
      <c r="I914">
        <v>0</v>
      </c>
      <c r="J914" t="s">
        <v>1231</v>
      </c>
      <c r="K914" t="s">
        <v>1105</v>
      </c>
      <c r="L914">
        <v>36</v>
      </c>
      <c r="N914" t="s">
        <v>1107</v>
      </c>
      <c r="O914">
        <v>94.3</v>
      </c>
      <c r="P914">
        <v>6.12</v>
      </c>
      <c r="Q914" t="s">
        <v>1110</v>
      </c>
    </row>
    <row r="915" spans="1:17">
      <c r="A915" s="2">
        <v>45885</v>
      </c>
      <c r="B915">
        <v>6</v>
      </c>
      <c r="C915">
        <v>14</v>
      </c>
      <c r="D915" t="s">
        <v>23</v>
      </c>
      <c r="E915" t="s">
        <v>142</v>
      </c>
      <c r="G915">
        <v>0</v>
      </c>
      <c r="H915">
        <v>0</v>
      </c>
      <c r="I915">
        <v>0</v>
      </c>
      <c r="J915" t="s">
        <v>1231</v>
      </c>
      <c r="K915" t="s">
        <v>1105</v>
      </c>
      <c r="L915">
        <v>36</v>
      </c>
      <c r="N915" t="s">
        <v>1107</v>
      </c>
      <c r="O915">
        <v>89.2</v>
      </c>
      <c r="P915">
        <v>7.97</v>
      </c>
      <c r="Q915" t="s">
        <v>1110</v>
      </c>
    </row>
    <row r="916" spans="1:17">
      <c r="A916" s="2">
        <v>45885</v>
      </c>
      <c r="B916">
        <v>6</v>
      </c>
      <c r="C916">
        <v>15</v>
      </c>
      <c r="D916" t="s">
        <v>24</v>
      </c>
      <c r="E916" t="s">
        <v>143</v>
      </c>
      <c r="G916">
        <v>0</v>
      </c>
      <c r="H916">
        <v>0</v>
      </c>
      <c r="I916">
        <v>0</v>
      </c>
      <c r="J916" t="s">
        <v>1231</v>
      </c>
      <c r="K916" t="s">
        <v>1105</v>
      </c>
      <c r="L916">
        <v>36</v>
      </c>
      <c r="N916" t="s">
        <v>1107</v>
      </c>
      <c r="O916">
        <v>91.7</v>
      </c>
      <c r="P916">
        <v>5.66</v>
      </c>
      <c r="Q916" t="s">
        <v>1111</v>
      </c>
    </row>
    <row r="917" spans="1:17">
      <c r="A917" s="2">
        <v>45885</v>
      </c>
      <c r="B917">
        <v>6</v>
      </c>
      <c r="C917">
        <v>16</v>
      </c>
      <c r="D917" t="s">
        <v>1273</v>
      </c>
      <c r="E917" t="s">
        <v>144</v>
      </c>
      <c r="G917">
        <v>0</v>
      </c>
      <c r="H917">
        <v>0</v>
      </c>
      <c r="I917">
        <v>0</v>
      </c>
      <c r="J917" t="s">
        <v>1231</v>
      </c>
      <c r="K917" t="s">
        <v>1105</v>
      </c>
      <c r="L917">
        <v>36</v>
      </c>
      <c r="N917" t="s">
        <v>1107</v>
      </c>
      <c r="O917">
        <v>93.3</v>
      </c>
      <c r="P917">
        <v>5.5</v>
      </c>
      <c r="Q917" t="s">
        <v>1110</v>
      </c>
    </row>
    <row r="918" spans="1:17">
      <c r="A918" s="2">
        <v>45885</v>
      </c>
      <c r="B918">
        <v>6</v>
      </c>
      <c r="C918">
        <v>17</v>
      </c>
      <c r="D918" t="s">
        <v>25</v>
      </c>
      <c r="E918" t="s">
        <v>145</v>
      </c>
      <c r="G918">
        <v>0</v>
      </c>
      <c r="H918">
        <v>0</v>
      </c>
      <c r="I918">
        <v>0</v>
      </c>
      <c r="J918" t="s">
        <v>1231</v>
      </c>
      <c r="K918" t="s">
        <v>1105</v>
      </c>
      <c r="L918">
        <v>36</v>
      </c>
      <c r="N918" t="s">
        <v>1107</v>
      </c>
      <c r="O918">
        <v>86.1</v>
      </c>
      <c r="P918">
        <v>5.98</v>
      </c>
      <c r="Q918" t="s">
        <v>1110</v>
      </c>
    </row>
    <row r="919" spans="1:17">
      <c r="A919" s="2">
        <v>45885</v>
      </c>
      <c r="B919">
        <v>6</v>
      </c>
      <c r="C919">
        <v>18</v>
      </c>
      <c r="D919" t="s">
        <v>26</v>
      </c>
      <c r="E919" t="s">
        <v>146</v>
      </c>
      <c r="G919">
        <v>0</v>
      </c>
      <c r="H919">
        <v>0</v>
      </c>
      <c r="I919">
        <v>0</v>
      </c>
      <c r="J919" t="s">
        <v>1231</v>
      </c>
      <c r="K919" t="s">
        <v>1105</v>
      </c>
      <c r="L919">
        <v>36</v>
      </c>
      <c r="N919" t="s">
        <v>1107</v>
      </c>
      <c r="O919">
        <v>87.1</v>
      </c>
      <c r="P919">
        <v>6.63</v>
      </c>
      <c r="Q919" t="s">
        <v>1111</v>
      </c>
    </row>
    <row r="920" spans="1:17">
      <c r="A920" s="2">
        <v>45885</v>
      </c>
      <c r="B920">
        <v>6</v>
      </c>
      <c r="C920">
        <v>19</v>
      </c>
      <c r="D920" t="s">
        <v>27</v>
      </c>
      <c r="E920" t="s">
        <v>147</v>
      </c>
      <c r="G920">
        <v>0</v>
      </c>
      <c r="H920">
        <v>0</v>
      </c>
      <c r="I920">
        <v>0</v>
      </c>
      <c r="J920" t="s">
        <v>1231</v>
      </c>
      <c r="K920" t="s">
        <v>1105</v>
      </c>
      <c r="L920">
        <v>36</v>
      </c>
      <c r="N920" t="s">
        <v>1107</v>
      </c>
      <c r="O920">
        <v>87.1</v>
      </c>
      <c r="P920">
        <v>6.07</v>
      </c>
      <c r="Q920" t="s">
        <v>1110</v>
      </c>
    </row>
    <row r="921" spans="1:17">
      <c r="A921" s="2">
        <v>45885</v>
      </c>
      <c r="B921">
        <v>6</v>
      </c>
      <c r="C921">
        <v>20</v>
      </c>
      <c r="D921" t="s">
        <v>28</v>
      </c>
      <c r="E921" t="s">
        <v>148</v>
      </c>
      <c r="G921">
        <v>0</v>
      </c>
      <c r="H921">
        <v>0</v>
      </c>
      <c r="I921">
        <v>0</v>
      </c>
      <c r="J921" t="s">
        <v>1231</v>
      </c>
      <c r="K921" t="s">
        <v>1105</v>
      </c>
      <c r="L921">
        <v>36</v>
      </c>
      <c r="N921" t="s">
        <v>1107</v>
      </c>
      <c r="O921">
        <v>88.2</v>
      </c>
      <c r="P921">
        <v>6.17</v>
      </c>
      <c r="Q921" t="s">
        <v>1110</v>
      </c>
    </row>
    <row r="922" spans="1:17">
      <c r="A922" s="2">
        <v>45885</v>
      </c>
      <c r="B922">
        <v>7</v>
      </c>
      <c r="C922">
        <v>1</v>
      </c>
      <c r="D922" t="s">
        <v>17</v>
      </c>
      <c r="E922" t="s">
        <v>149</v>
      </c>
      <c r="F922" t="s">
        <v>959</v>
      </c>
      <c r="G922">
        <v>0</v>
      </c>
      <c r="H922">
        <v>0</v>
      </c>
      <c r="I922">
        <v>0</v>
      </c>
      <c r="J922" t="s">
        <v>1230</v>
      </c>
      <c r="L922">
        <v>35</v>
      </c>
      <c r="N922" t="s">
        <v>1107</v>
      </c>
      <c r="O922">
        <v>80.400000000000006</v>
      </c>
      <c r="P922">
        <v>6.95</v>
      </c>
      <c r="Q922" t="s">
        <v>1110</v>
      </c>
    </row>
    <row r="923" spans="1:17">
      <c r="A923" s="2">
        <v>45885</v>
      </c>
      <c r="B923">
        <v>7</v>
      </c>
      <c r="C923">
        <v>2</v>
      </c>
      <c r="D923" t="s">
        <v>1269</v>
      </c>
      <c r="E923" t="s">
        <v>150</v>
      </c>
      <c r="F923" t="s">
        <v>960</v>
      </c>
      <c r="G923">
        <v>3</v>
      </c>
      <c r="H923">
        <v>0</v>
      </c>
      <c r="I923">
        <v>3</v>
      </c>
      <c r="J923" t="s">
        <v>1230</v>
      </c>
      <c r="L923">
        <v>35</v>
      </c>
      <c r="N923" t="s">
        <v>1107</v>
      </c>
      <c r="O923">
        <v>65.5</v>
      </c>
      <c r="P923">
        <v>5.9</v>
      </c>
      <c r="Q923" t="s">
        <v>1110</v>
      </c>
    </row>
    <row r="924" spans="1:17">
      <c r="A924" s="2">
        <v>45885</v>
      </c>
      <c r="B924">
        <v>7</v>
      </c>
      <c r="C924">
        <v>3</v>
      </c>
      <c r="D924" t="s">
        <v>18</v>
      </c>
      <c r="E924" t="s">
        <v>151</v>
      </c>
      <c r="F924" t="s">
        <v>151</v>
      </c>
      <c r="G924">
        <v>2</v>
      </c>
      <c r="H924">
        <v>3</v>
      </c>
      <c r="I924">
        <v>2</v>
      </c>
      <c r="J924" t="s">
        <v>1230</v>
      </c>
      <c r="L924">
        <v>35</v>
      </c>
      <c r="M924">
        <v>8.1</v>
      </c>
      <c r="N924" t="s">
        <v>1106</v>
      </c>
      <c r="O924">
        <v>62.5</v>
      </c>
      <c r="P924">
        <v>6.61</v>
      </c>
      <c r="Q924" t="s">
        <v>1112</v>
      </c>
    </row>
    <row r="925" spans="1:17">
      <c r="A925" s="2">
        <v>45885</v>
      </c>
      <c r="B925">
        <v>7</v>
      </c>
      <c r="C925">
        <v>4</v>
      </c>
      <c r="D925" t="s">
        <v>19</v>
      </c>
      <c r="E925" t="s">
        <v>152</v>
      </c>
      <c r="F925" t="s">
        <v>961</v>
      </c>
      <c r="G925">
        <v>2</v>
      </c>
      <c r="H925">
        <v>1</v>
      </c>
      <c r="I925">
        <v>3</v>
      </c>
      <c r="J925" t="s">
        <v>1230</v>
      </c>
      <c r="L925">
        <v>35</v>
      </c>
      <c r="M925">
        <v>8</v>
      </c>
      <c r="N925" t="s">
        <v>1107</v>
      </c>
      <c r="O925">
        <v>64.3</v>
      </c>
      <c r="P925">
        <v>7.88</v>
      </c>
      <c r="Q925" t="s">
        <v>1110</v>
      </c>
    </row>
    <row r="926" spans="1:17">
      <c r="A926" s="2">
        <v>45885</v>
      </c>
      <c r="B926">
        <v>7</v>
      </c>
      <c r="C926">
        <v>5</v>
      </c>
      <c r="D926" t="s">
        <v>1115</v>
      </c>
      <c r="E926" t="s">
        <v>153</v>
      </c>
      <c r="F926" t="s">
        <v>962</v>
      </c>
      <c r="G926">
        <v>5</v>
      </c>
      <c r="H926">
        <v>1</v>
      </c>
      <c r="I926">
        <v>7</v>
      </c>
      <c r="J926" t="s">
        <v>1230</v>
      </c>
      <c r="L926">
        <v>35</v>
      </c>
      <c r="M926">
        <v>8.1</v>
      </c>
      <c r="N926" t="s">
        <v>1106</v>
      </c>
      <c r="O926">
        <v>77.400000000000006</v>
      </c>
      <c r="P926">
        <v>7.03</v>
      </c>
      <c r="Q926" t="s">
        <v>1112</v>
      </c>
    </row>
    <row r="927" spans="1:17">
      <c r="A927" s="2">
        <v>45885</v>
      </c>
      <c r="B927">
        <v>7</v>
      </c>
      <c r="C927">
        <v>6</v>
      </c>
      <c r="D927" t="s">
        <v>1270</v>
      </c>
      <c r="E927" t="s">
        <v>154</v>
      </c>
      <c r="F927" t="s">
        <v>963</v>
      </c>
      <c r="G927">
        <v>4</v>
      </c>
      <c r="H927">
        <v>2</v>
      </c>
      <c r="I927">
        <v>9</v>
      </c>
      <c r="J927" t="s">
        <v>1230</v>
      </c>
      <c r="L927">
        <v>35</v>
      </c>
      <c r="M927">
        <v>7.7</v>
      </c>
      <c r="N927" t="s">
        <v>1107</v>
      </c>
      <c r="O927">
        <v>68.3</v>
      </c>
      <c r="P927">
        <v>6.91</v>
      </c>
      <c r="Q927" t="s">
        <v>1111</v>
      </c>
    </row>
    <row r="928" spans="1:17">
      <c r="A928" s="2">
        <v>45885</v>
      </c>
      <c r="B928">
        <v>7</v>
      </c>
      <c r="C928">
        <v>7</v>
      </c>
      <c r="D928" t="s">
        <v>1114</v>
      </c>
      <c r="E928" t="s">
        <v>155</v>
      </c>
      <c r="F928" t="s">
        <v>964</v>
      </c>
      <c r="G928">
        <v>5</v>
      </c>
      <c r="H928">
        <v>4</v>
      </c>
      <c r="I928">
        <v>10</v>
      </c>
      <c r="J928" t="s">
        <v>1230</v>
      </c>
      <c r="L928">
        <v>35</v>
      </c>
      <c r="M928">
        <v>7.5</v>
      </c>
      <c r="N928" t="s">
        <v>1107</v>
      </c>
      <c r="O928">
        <v>81.3</v>
      </c>
      <c r="P928">
        <v>6.45</v>
      </c>
      <c r="Q928" t="s">
        <v>1110</v>
      </c>
    </row>
    <row r="929" spans="1:17">
      <c r="A929" s="2">
        <v>45885</v>
      </c>
      <c r="B929">
        <v>7</v>
      </c>
      <c r="C929">
        <v>8</v>
      </c>
      <c r="D929" t="s">
        <v>1271</v>
      </c>
      <c r="E929" t="s">
        <v>156</v>
      </c>
      <c r="F929" t="s">
        <v>965</v>
      </c>
      <c r="G929">
        <v>1</v>
      </c>
      <c r="H929">
        <v>1</v>
      </c>
      <c r="I929">
        <v>10</v>
      </c>
      <c r="J929" t="s">
        <v>1230</v>
      </c>
      <c r="L929">
        <v>35</v>
      </c>
      <c r="M929">
        <v>8</v>
      </c>
      <c r="N929" t="s">
        <v>1107</v>
      </c>
      <c r="O929">
        <v>74.599999999999994</v>
      </c>
      <c r="P929">
        <v>6.15</v>
      </c>
      <c r="Q929" t="s">
        <v>1110</v>
      </c>
    </row>
    <row r="930" spans="1:17">
      <c r="A930" s="2">
        <v>45885</v>
      </c>
      <c r="B930">
        <v>7</v>
      </c>
      <c r="C930">
        <v>9</v>
      </c>
      <c r="D930" t="s">
        <v>20</v>
      </c>
      <c r="E930" t="s">
        <v>157</v>
      </c>
      <c r="F930" t="s">
        <v>966</v>
      </c>
      <c r="G930">
        <v>4</v>
      </c>
      <c r="H930">
        <v>3</v>
      </c>
      <c r="I930">
        <v>11</v>
      </c>
      <c r="J930" t="s">
        <v>1230</v>
      </c>
      <c r="L930">
        <v>35</v>
      </c>
      <c r="M930">
        <v>7.8</v>
      </c>
      <c r="N930" t="s">
        <v>1107</v>
      </c>
      <c r="O930">
        <v>74.7</v>
      </c>
      <c r="P930">
        <v>7.97</v>
      </c>
      <c r="Q930" t="s">
        <v>1110</v>
      </c>
    </row>
    <row r="931" spans="1:17">
      <c r="A931" s="2">
        <v>45885</v>
      </c>
      <c r="B931">
        <v>7</v>
      </c>
      <c r="C931">
        <v>10</v>
      </c>
      <c r="D931" t="s">
        <v>1113</v>
      </c>
      <c r="E931" t="s">
        <v>158</v>
      </c>
      <c r="F931" t="s">
        <v>967</v>
      </c>
      <c r="G931">
        <v>4</v>
      </c>
      <c r="H931">
        <v>3</v>
      </c>
      <c r="I931">
        <v>12</v>
      </c>
      <c r="J931" t="s">
        <v>1230</v>
      </c>
      <c r="L931">
        <v>35</v>
      </c>
      <c r="M931">
        <v>7.3</v>
      </c>
      <c r="N931" t="s">
        <v>1107</v>
      </c>
      <c r="O931">
        <v>82.4</v>
      </c>
      <c r="P931">
        <v>5.93</v>
      </c>
      <c r="Q931" t="s">
        <v>1110</v>
      </c>
    </row>
    <row r="932" spans="1:17">
      <c r="A932" s="2">
        <v>45885</v>
      </c>
      <c r="B932">
        <v>7</v>
      </c>
      <c r="C932">
        <v>11</v>
      </c>
      <c r="D932" t="s">
        <v>1272</v>
      </c>
      <c r="E932" t="s">
        <v>159</v>
      </c>
      <c r="F932" t="s">
        <v>968</v>
      </c>
      <c r="G932">
        <v>2</v>
      </c>
      <c r="H932">
        <v>5</v>
      </c>
      <c r="I932">
        <v>9</v>
      </c>
      <c r="J932" t="s">
        <v>1230</v>
      </c>
      <c r="L932">
        <v>35</v>
      </c>
      <c r="M932">
        <v>7.7</v>
      </c>
      <c r="N932" t="s">
        <v>1107</v>
      </c>
      <c r="O932">
        <v>75.5</v>
      </c>
      <c r="P932">
        <v>5.18</v>
      </c>
      <c r="Q932" t="s">
        <v>1110</v>
      </c>
    </row>
    <row r="933" spans="1:17">
      <c r="A933" s="2">
        <v>45885</v>
      </c>
      <c r="B933">
        <v>7</v>
      </c>
      <c r="C933">
        <v>12</v>
      </c>
      <c r="D933" t="s">
        <v>21</v>
      </c>
      <c r="E933" t="s">
        <v>160</v>
      </c>
      <c r="F933" t="s">
        <v>969</v>
      </c>
      <c r="G933">
        <v>5</v>
      </c>
      <c r="H933">
        <v>3</v>
      </c>
      <c r="I933">
        <v>11</v>
      </c>
      <c r="J933" t="s">
        <v>1230</v>
      </c>
      <c r="L933">
        <v>35</v>
      </c>
      <c r="M933">
        <v>7.4</v>
      </c>
      <c r="N933" t="s">
        <v>1107</v>
      </c>
      <c r="O933">
        <v>63.8</v>
      </c>
      <c r="P933">
        <v>5.61</v>
      </c>
      <c r="Q933" t="s">
        <v>1110</v>
      </c>
    </row>
    <row r="934" spans="1:17">
      <c r="A934" s="2">
        <v>45885</v>
      </c>
      <c r="B934">
        <v>7</v>
      </c>
      <c r="C934">
        <v>13</v>
      </c>
      <c r="D934" t="s">
        <v>22</v>
      </c>
      <c r="E934" t="s">
        <v>161</v>
      </c>
      <c r="F934" t="s">
        <v>970</v>
      </c>
      <c r="G934">
        <v>3</v>
      </c>
      <c r="H934">
        <v>3</v>
      </c>
      <c r="I934">
        <v>11</v>
      </c>
      <c r="J934" t="s">
        <v>1230</v>
      </c>
      <c r="L934">
        <v>35</v>
      </c>
      <c r="M934">
        <v>7.6</v>
      </c>
      <c r="N934" t="s">
        <v>1108</v>
      </c>
      <c r="O934">
        <v>75</v>
      </c>
      <c r="P934">
        <v>7.84</v>
      </c>
      <c r="Q934" t="s">
        <v>1110</v>
      </c>
    </row>
    <row r="935" spans="1:17">
      <c r="A935" s="2">
        <v>45885</v>
      </c>
      <c r="B935">
        <v>7</v>
      </c>
      <c r="C935">
        <v>14</v>
      </c>
      <c r="D935" t="s">
        <v>23</v>
      </c>
      <c r="E935" t="s">
        <v>162</v>
      </c>
      <c r="F935" t="s">
        <v>971</v>
      </c>
      <c r="G935">
        <v>1</v>
      </c>
      <c r="H935">
        <v>2</v>
      </c>
      <c r="I935">
        <v>10</v>
      </c>
      <c r="J935" t="s">
        <v>1230</v>
      </c>
      <c r="L935">
        <v>35</v>
      </c>
      <c r="M935">
        <v>6.9</v>
      </c>
      <c r="N935" t="s">
        <v>1107</v>
      </c>
      <c r="O935">
        <v>67</v>
      </c>
      <c r="P935">
        <v>6.93</v>
      </c>
      <c r="Q935" t="s">
        <v>1110</v>
      </c>
    </row>
    <row r="936" spans="1:17">
      <c r="A936" s="2">
        <v>45885</v>
      </c>
      <c r="B936">
        <v>7</v>
      </c>
      <c r="C936">
        <v>15</v>
      </c>
      <c r="D936" t="s">
        <v>24</v>
      </c>
      <c r="E936" t="s">
        <v>163</v>
      </c>
      <c r="F936" t="s">
        <v>972</v>
      </c>
      <c r="G936">
        <v>3</v>
      </c>
      <c r="H936">
        <v>4</v>
      </c>
      <c r="I936">
        <v>9</v>
      </c>
      <c r="J936" t="s">
        <v>1230</v>
      </c>
      <c r="L936">
        <v>35</v>
      </c>
      <c r="M936">
        <v>6.6</v>
      </c>
      <c r="N936" t="s">
        <v>1107</v>
      </c>
      <c r="O936">
        <v>84.4</v>
      </c>
      <c r="P936">
        <v>6.94</v>
      </c>
      <c r="Q936" t="s">
        <v>1110</v>
      </c>
    </row>
    <row r="937" spans="1:17">
      <c r="A937" s="2">
        <v>45885</v>
      </c>
      <c r="B937">
        <v>7</v>
      </c>
      <c r="C937">
        <v>16</v>
      </c>
      <c r="D937" t="s">
        <v>1273</v>
      </c>
      <c r="E937" t="s">
        <v>164</v>
      </c>
      <c r="F937" t="s">
        <v>973</v>
      </c>
      <c r="G937">
        <v>5</v>
      </c>
      <c r="H937">
        <v>4</v>
      </c>
      <c r="I937">
        <v>10</v>
      </c>
      <c r="J937" t="s">
        <v>1230</v>
      </c>
      <c r="L937">
        <v>35</v>
      </c>
      <c r="M937">
        <v>6.7</v>
      </c>
      <c r="N937" t="s">
        <v>1107</v>
      </c>
      <c r="O937">
        <v>81.2</v>
      </c>
      <c r="P937">
        <v>5.99</v>
      </c>
      <c r="Q937" t="s">
        <v>1110</v>
      </c>
    </row>
    <row r="938" spans="1:17">
      <c r="A938" s="2">
        <v>45885</v>
      </c>
      <c r="B938">
        <v>7</v>
      </c>
      <c r="C938">
        <v>17</v>
      </c>
      <c r="D938" t="s">
        <v>25</v>
      </c>
      <c r="E938" t="s">
        <v>165</v>
      </c>
      <c r="F938" t="s">
        <v>974</v>
      </c>
      <c r="G938">
        <v>0</v>
      </c>
      <c r="H938">
        <v>4</v>
      </c>
      <c r="I938">
        <v>6</v>
      </c>
      <c r="J938" t="s">
        <v>1230</v>
      </c>
      <c r="K938" t="s">
        <v>1104</v>
      </c>
      <c r="L938">
        <v>35</v>
      </c>
      <c r="M938">
        <v>4.0999999999999996</v>
      </c>
      <c r="N938" t="s">
        <v>1107</v>
      </c>
      <c r="O938">
        <v>82.7</v>
      </c>
      <c r="P938">
        <v>7</v>
      </c>
      <c r="Q938" t="s">
        <v>1110</v>
      </c>
    </row>
    <row r="939" spans="1:17">
      <c r="A939" s="2">
        <v>45885</v>
      </c>
      <c r="B939">
        <v>7</v>
      </c>
      <c r="C939">
        <v>18</v>
      </c>
      <c r="D939" t="s">
        <v>26</v>
      </c>
      <c r="E939" t="s">
        <v>166</v>
      </c>
      <c r="F939" t="s">
        <v>975</v>
      </c>
      <c r="G939">
        <v>5</v>
      </c>
      <c r="H939">
        <v>0</v>
      </c>
      <c r="I939">
        <v>11</v>
      </c>
      <c r="J939" t="s">
        <v>1230</v>
      </c>
      <c r="K939" t="s">
        <v>1104</v>
      </c>
      <c r="L939">
        <v>35</v>
      </c>
      <c r="N939" t="s">
        <v>1107</v>
      </c>
      <c r="O939">
        <v>78</v>
      </c>
      <c r="P939">
        <v>6.82</v>
      </c>
      <c r="Q939" t="s">
        <v>1110</v>
      </c>
    </row>
    <row r="940" spans="1:17">
      <c r="A940" s="2">
        <v>45885</v>
      </c>
      <c r="B940">
        <v>7</v>
      </c>
      <c r="C940">
        <v>19</v>
      </c>
      <c r="D940" t="s">
        <v>27</v>
      </c>
      <c r="E940" t="s">
        <v>167</v>
      </c>
      <c r="F940" t="s">
        <v>976</v>
      </c>
      <c r="G940">
        <v>3</v>
      </c>
      <c r="H940">
        <v>0</v>
      </c>
      <c r="I940">
        <v>14</v>
      </c>
      <c r="J940" t="s">
        <v>1230</v>
      </c>
      <c r="K940" t="s">
        <v>1104</v>
      </c>
      <c r="L940">
        <v>35</v>
      </c>
      <c r="N940" t="s">
        <v>1107</v>
      </c>
      <c r="O940">
        <v>71.099999999999994</v>
      </c>
      <c r="P940">
        <v>5.0199999999999996</v>
      </c>
      <c r="Q940" t="s">
        <v>1111</v>
      </c>
    </row>
    <row r="941" spans="1:17">
      <c r="A941" s="2">
        <v>45885</v>
      </c>
      <c r="B941">
        <v>7</v>
      </c>
      <c r="C941">
        <v>20</v>
      </c>
      <c r="D941" t="s">
        <v>28</v>
      </c>
      <c r="E941" t="s">
        <v>168</v>
      </c>
      <c r="F941" t="s">
        <v>977</v>
      </c>
      <c r="G941">
        <v>1</v>
      </c>
      <c r="H941">
        <v>5</v>
      </c>
      <c r="I941">
        <v>10</v>
      </c>
      <c r="J941" t="s">
        <v>1230</v>
      </c>
      <c r="K941" t="s">
        <v>1104</v>
      </c>
      <c r="L941">
        <v>35</v>
      </c>
      <c r="M941">
        <v>4.0999999999999996</v>
      </c>
      <c r="N941" t="s">
        <v>1107</v>
      </c>
      <c r="O941">
        <v>64.8</v>
      </c>
      <c r="P941">
        <v>6.9</v>
      </c>
      <c r="Q941" t="s">
        <v>1110</v>
      </c>
    </row>
    <row r="942" spans="1:17">
      <c r="A942" s="2">
        <v>45885</v>
      </c>
      <c r="B942">
        <v>8</v>
      </c>
      <c r="C942">
        <v>1</v>
      </c>
      <c r="D942" t="s">
        <v>17</v>
      </c>
      <c r="E942" t="s">
        <v>169</v>
      </c>
      <c r="F942" t="s">
        <v>592</v>
      </c>
      <c r="G942">
        <v>0</v>
      </c>
      <c r="H942">
        <v>0</v>
      </c>
      <c r="I942">
        <v>0</v>
      </c>
      <c r="J942" t="s">
        <v>1230</v>
      </c>
      <c r="L942">
        <v>36</v>
      </c>
      <c r="N942" t="s">
        <v>1107</v>
      </c>
      <c r="O942">
        <v>62.3</v>
      </c>
      <c r="P942">
        <v>6.78</v>
      </c>
      <c r="Q942" t="s">
        <v>1111</v>
      </c>
    </row>
    <row r="943" spans="1:17">
      <c r="A943" s="2">
        <v>45885</v>
      </c>
      <c r="B943">
        <v>8</v>
      </c>
      <c r="C943">
        <v>2</v>
      </c>
      <c r="D943" t="s">
        <v>1269</v>
      </c>
      <c r="E943" t="s">
        <v>170</v>
      </c>
      <c r="F943" t="s">
        <v>978</v>
      </c>
      <c r="G943">
        <v>4</v>
      </c>
      <c r="H943">
        <v>0</v>
      </c>
      <c r="I943">
        <v>4</v>
      </c>
      <c r="J943" t="s">
        <v>1230</v>
      </c>
      <c r="L943">
        <v>36</v>
      </c>
      <c r="N943" t="s">
        <v>1108</v>
      </c>
      <c r="O943">
        <v>65.900000000000006</v>
      </c>
      <c r="P943">
        <v>5.23</v>
      </c>
      <c r="Q943" t="s">
        <v>1110</v>
      </c>
    </row>
    <row r="944" spans="1:17">
      <c r="A944" s="2">
        <v>45885</v>
      </c>
      <c r="B944">
        <v>8</v>
      </c>
      <c r="C944">
        <v>3</v>
      </c>
      <c r="D944" t="s">
        <v>18</v>
      </c>
      <c r="E944" t="s">
        <v>171</v>
      </c>
      <c r="F944" t="s">
        <v>979</v>
      </c>
      <c r="G944">
        <v>4</v>
      </c>
      <c r="H944">
        <v>0</v>
      </c>
      <c r="I944">
        <v>8</v>
      </c>
      <c r="J944" t="s">
        <v>1230</v>
      </c>
      <c r="L944">
        <v>36</v>
      </c>
      <c r="N944" t="s">
        <v>1107</v>
      </c>
      <c r="O944">
        <v>78</v>
      </c>
      <c r="P944">
        <v>5.73</v>
      </c>
      <c r="Q944" t="s">
        <v>1110</v>
      </c>
    </row>
    <row r="945" spans="1:17">
      <c r="A945" s="2">
        <v>45885</v>
      </c>
      <c r="B945">
        <v>8</v>
      </c>
      <c r="C945">
        <v>4</v>
      </c>
      <c r="D945" t="s">
        <v>19</v>
      </c>
      <c r="E945" t="s">
        <v>172</v>
      </c>
      <c r="F945" t="s">
        <v>980</v>
      </c>
      <c r="G945">
        <v>3</v>
      </c>
      <c r="H945">
        <v>4</v>
      </c>
      <c r="I945">
        <v>7</v>
      </c>
      <c r="J945" t="s">
        <v>1230</v>
      </c>
      <c r="L945">
        <v>36</v>
      </c>
      <c r="M945" t="s">
        <v>1205</v>
      </c>
      <c r="N945" t="s">
        <v>1107</v>
      </c>
      <c r="O945">
        <v>67.099999999999994</v>
      </c>
      <c r="P945">
        <v>6.34</v>
      </c>
      <c r="Q945" t="s">
        <v>1110</v>
      </c>
    </row>
    <row r="946" spans="1:17">
      <c r="A946" s="2">
        <v>45885</v>
      </c>
      <c r="B946">
        <v>8</v>
      </c>
      <c r="C946">
        <v>5</v>
      </c>
      <c r="D946" t="s">
        <v>1115</v>
      </c>
      <c r="E946" t="s">
        <v>173</v>
      </c>
      <c r="F946" t="s">
        <v>981</v>
      </c>
      <c r="G946">
        <v>0</v>
      </c>
      <c r="H946">
        <v>0</v>
      </c>
      <c r="I946">
        <v>7</v>
      </c>
      <c r="J946" t="s">
        <v>1230</v>
      </c>
      <c r="L946">
        <v>36</v>
      </c>
      <c r="N946" t="s">
        <v>1107</v>
      </c>
      <c r="O946">
        <v>79.5</v>
      </c>
      <c r="P946">
        <v>5.24</v>
      </c>
      <c r="Q946" t="s">
        <v>1112</v>
      </c>
    </row>
    <row r="947" spans="1:17">
      <c r="A947" s="2">
        <v>45885</v>
      </c>
      <c r="B947">
        <v>8</v>
      </c>
      <c r="C947">
        <v>6</v>
      </c>
      <c r="D947" t="s">
        <v>1270</v>
      </c>
      <c r="E947" t="s">
        <v>174</v>
      </c>
      <c r="F947" t="s">
        <v>982</v>
      </c>
      <c r="G947">
        <v>0</v>
      </c>
      <c r="H947">
        <v>3</v>
      </c>
      <c r="I947">
        <v>4</v>
      </c>
      <c r="J947" t="s">
        <v>1230</v>
      </c>
      <c r="L947">
        <v>36</v>
      </c>
      <c r="M947" t="s">
        <v>1219</v>
      </c>
      <c r="N947" t="s">
        <v>1107</v>
      </c>
      <c r="O947">
        <v>64.2</v>
      </c>
      <c r="P947">
        <v>6.32</v>
      </c>
      <c r="Q947" t="s">
        <v>1110</v>
      </c>
    </row>
    <row r="948" spans="1:17">
      <c r="A948" s="2">
        <v>45885</v>
      </c>
      <c r="B948">
        <v>8</v>
      </c>
      <c r="C948">
        <v>7</v>
      </c>
      <c r="D948" t="s">
        <v>1114</v>
      </c>
      <c r="E948" t="s">
        <v>175</v>
      </c>
      <c r="F948" t="s">
        <v>983</v>
      </c>
      <c r="G948">
        <v>4</v>
      </c>
      <c r="H948">
        <v>2</v>
      </c>
      <c r="I948">
        <v>6</v>
      </c>
      <c r="J948" t="s">
        <v>1230</v>
      </c>
      <c r="L948">
        <v>36</v>
      </c>
      <c r="M948" t="s">
        <v>1227</v>
      </c>
      <c r="N948" t="s">
        <v>1107</v>
      </c>
      <c r="O948">
        <v>79</v>
      </c>
      <c r="P948">
        <v>7.46</v>
      </c>
      <c r="Q948" t="s">
        <v>1110</v>
      </c>
    </row>
    <row r="949" spans="1:17">
      <c r="A949" s="2">
        <v>45885</v>
      </c>
      <c r="B949">
        <v>8</v>
      </c>
      <c r="C949">
        <v>8</v>
      </c>
      <c r="D949" t="s">
        <v>1271</v>
      </c>
      <c r="E949" t="s">
        <v>176</v>
      </c>
      <c r="F949" t="s">
        <v>984</v>
      </c>
      <c r="G949">
        <v>4</v>
      </c>
      <c r="H949">
        <v>0</v>
      </c>
      <c r="I949">
        <v>10</v>
      </c>
      <c r="J949" t="s">
        <v>1230</v>
      </c>
      <c r="L949">
        <v>36</v>
      </c>
      <c r="N949" t="s">
        <v>1107</v>
      </c>
      <c r="O949">
        <v>69.5</v>
      </c>
      <c r="P949">
        <v>7.56</v>
      </c>
      <c r="Q949" t="s">
        <v>1110</v>
      </c>
    </row>
    <row r="950" spans="1:17">
      <c r="A950" s="2">
        <v>45885</v>
      </c>
      <c r="B950">
        <v>8</v>
      </c>
      <c r="C950">
        <v>9</v>
      </c>
      <c r="D950" t="s">
        <v>20</v>
      </c>
      <c r="E950" t="s">
        <v>177</v>
      </c>
      <c r="F950" t="s">
        <v>985</v>
      </c>
      <c r="G950">
        <v>3</v>
      </c>
      <c r="H950">
        <v>5</v>
      </c>
      <c r="I950">
        <v>8</v>
      </c>
      <c r="J950" t="s">
        <v>1230</v>
      </c>
      <c r="L950">
        <v>36</v>
      </c>
      <c r="M950" t="s">
        <v>1224</v>
      </c>
      <c r="N950" t="s">
        <v>1108</v>
      </c>
      <c r="O950">
        <v>74.900000000000006</v>
      </c>
      <c r="P950">
        <v>5.46</v>
      </c>
      <c r="Q950" t="s">
        <v>1110</v>
      </c>
    </row>
    <row r="951" spans="1:17">
      <c r="A951" s="2">
        <v>45885</v>
      </c>
      <c r="B951">
        <v>8</v>
      </c>
      <c r="C951">
        <v>10</v>
      </c>
      <c r="D951" t="s">
        <v>1113</v>
      </c>
      <c r="E951" t="s">
        <v>178</v>
      </c>
      <c r="F951" t="s">
        <v>986</v>
      </c>
      <c r="G951">
        <v>0</v>
      </c>
      <c r="H951">
        <v>1</v>
      </c>
      <c r="I951">
        <v>7</v>
      </c>
      <c r="J951" t="s">
        <v>1230</v>
      </c>
      <c r="L951">
        <v>36</v>
      </c>
      <c r="M951" t="s">
        <v>1214</v>
      </c>
      <c r="N951" t="s">
        <v>1107</v>
      </c>
      <c r="O951">
        <v>71.599999999999994</v>
      </c>
      <c r="P951">
        <v>6.36</v>
      </c>
      <c r="Q951" t="s">
        <v>1110</v>
      </c>
    </row>
    <row r="952" spans="1:17">
      <c r="A952" s="2">
        <v>45885</v>
      </c>
      <c r="B952">
        <v>8</v>
      </c>
      <c r="C952">
        <v>11</v>
      </c>
      <c r="D952" t="s">
        <v>1272</v>
      </c>
      <c r="E952" t="s">
        <v>179</v>
      </c>
      <c r="F952" t="s">
        <v>987</v>
      </c>
      <c r="G952">
        <v>1</v>
      </c>
      <c r="H952">
        <v>4</v>
      </c>
      <c r="I952">
        <v>4</v>
      </c>
      <c r="J952" t="s">
        <v>1230</v>
      </c>
      <c r="L952">
        <v>36</v>
      </c>
      <c r="N952" t="s">
        <v>1107</v>
      </c>
      <c r="O952">
        <v>61.8</v>
      </c>
      <c r="P952">
        <v>5.41</v>
      </c>
      <c r="Q952" t="s">
        <v>1110</v>
      </c>
    </row>
    <row r="953" spans="1:17">
      <c r="A953" s="2">
        <v>45885</v>
      </c>
      <c r="B953">
        <v>8</v>
      </c>
      <c r="C953">
        <v>12</v>
      </c>
      <c r="D953" t="s">
        <v>21</v>
      </c>
      <c r="E953" t="s">
        <v>180</v>
      </c>
      <c r="F953" t="s">
        <v>988</v>
      </c>
      <c r="G953">
        <v>4</v>
      </c>
      <c r="H953">
        <v>4</v>
      </c>
      <c r="I953">
        <v>4</v>
      </c>
      <c r="J953" t="s">
        <v>1230</v>
      </c>
      <c r="L953">
        <v>36</v>
      </c>
      <c r="M953" t="s">
        <v>1211</v>
      </c>
      <c r="N953" t="s">
        <v>1107</v>
      </c>
      <c r="O953">
        <v>64.7</v>
      </c>
      <c r="P953">
        <v>5.04</v>
      </c>
      <c r="Q953" t="s">
        <v>1110</v>
      </c>
    </row>
    <row r="954" spans="1:17">
      <c r="A954" s="2">
        <v>45885</v>
      </c>
      <c r="B954">
        <v>8</v>
      </c>
      <c r="C954">
        <v>13</v>
      </c>
      <c r="D954" t="s">
        <v>22</v>
      </c>
      <c r="E954" t="s">
        <v>181</v>
      </c>
      <c r="F954" t="s">
        <v>989</v>
      </c>
      <c r="G954">
        <v>2</v>
      </c>
      <c r="H954">
        <v>2</v>
      </c>
      <c r="I954">
        <v>4</v>
      </c>
      <c r="J954" t="s">
        <v>1230</v>
      </c>
      <c r="L954">
        <v>36</v>
      </c>
      <c r="M954" t="s">
        <v>1227</v>
      </c>
      <c r="N954" t="s">
        <v>1107</v>
      </c>
      <c r="O954">
        <v>72.3</v>
      </c>
      <c r="P954">
        <v>7.78</v>
      </c>
      <c r="Q954" t="s">
        <v>1111</v>
      </c>
    </row>
    <row r="955" spans="1:17">
      <c r="A955" s="2">
        <v>45885</v>
      </c>
      <c r="B955">
        <v>8</v>
      </c>
      <c r="C955">
        <v>14</v>
      </c>
      <c r="D955" t="s">
        <v>23</v>
      </c>
      <c r="E955" t="s">
        <v>182</v>
      </c>
      <c r="F955" t="s">
        <v>990</v>
      </c>
      <c r="G955">
        <v>2</v>
      </c>
      <c r="H955">
        <v>0</v>
      </c>
      <c r="I955">
        <v>6</v>
      </c>
      <c r="J955" t="s">
        <v>1230</v>
      </c>
      <c r="L955">
        <v>36</v>
      </c>
      <c r="N955" t="s">
        <v>1109</v>
      </c>
      <c r="O955">
        <v>69.3</v>
      </c>
      <c r="P955">
        <v>6.47</v>
      </c>
      <c r="Q955" t="s">
        <v>1110</v>
      </c>
    </row>
    <row r="956" spans="1:17">
      <c r="A956" s="2">
        <v>45885</v>
      </c>
      <c r="B956">
        <v>8</v>
      </c>
      <c r="C956">
        <v>15</v>
      </c>
      <c r="D956" t="s">
        <v>24</v>
      </c>
      <c r="E956" t="s">
        <v>183</v>
      </c>
      <c r="F956" t="s">
        <v>991</v>
      </c>
      <c r="G956">
        <v>4</v>
      </c>
      <c r="H956">
        <v>3</v>
      </c>
      <c r="I956">
        <v>7</v>
      </c>
      <c r="J956" t="s">
        <v>1230</v>
      </c>
      <c r="L956">
        <v>36</v>
      </c>
      <c r="N956" t="s">
        <v>1107</v>
      </c>
      <c r="O956">
        <v>70.2</v>
      </c>
      <c r="P956">
        <v>5.12</v>
      </c>
      <c r="Q956" t="s">
        <v>1111</v>
      </c>
    </row>
    <row r="957" spans="1:17">
      <c r="A957" s="2">
        <v>45885</v>
      </c>
      <c r="B957">
        <v>8</v>
      </c>
      <c r="C957">
        <v>16</v>
      </c>
      <c r="D957" t="s">
        <v>1273</v>
      </c>
      <c r="E957" t="s">
        <v>184</v>
      </c>
      <c r="F957" t="s">
        <v>992</v>
      </c>
      <c r="G957">
        <v>1</v>
      </c>
      <c r="H957">
        <v>5</v>
      </c>
      <c r="I957">
        <v>3</v>
      </c>
      <c r="J957" t="s">
        <v>1230</v>
      </c>
      <c r="L957">
        <v>36</v>
      </c>
      <c r="M957" t="s">
        <v>1213</v>
      </c>
      <c r="N957" t="s">
        <v>1107</v>
      </c>
      <c r="O957">
        <v>74.099999999999994</v>
      </c>
      <c r="P957">
        <v>5.58</v>
      </c>
      <c r="Q957" t="s">
        <v>1110</v>
      </c>
    </row>
    <row r="958" spans="1:17">
      <c r="A958" s="2">
        <v>45885</v>
      </c>
      <c r="B958">
        <v>8</v>
      </c>
      <c r="C958">
        <v>17</v>
      </c>
      <c r="D958" t="s">
        <v>25</v>
      </c>
      <c r="E958" t="s">
        <v>185</v>
      </c>
      <c r="F958" t="s">
        <v>993</v>
      </c>
      <c r="G958">
        <v>5</v>
      </c>
      <c r="H958">
        <v>0</v>
      </c>
      <c r="I958">
        <v>8</v>
      </c>
      <c r="J958" t="s">
        <v>1230</v>
      </c>
      <c r="K958" t="s">
        <v>1104</v>
      </c>
      <c r="L958">
        <v>36</v>
      </c>
      <c r="N958" t="s">
        <v>1107</v>
      </c>
      <c r="O958">
        <v>82.8</v>
      </c>
      <c r="P958">
        <v>7.17</v>
      </c>
      <c r="Q958" t="s">
        <v>1110</v>
      </c>
    </row>
    <row r="959" spans="1:17">
      <c r="A959" s="2">
        <v>45885</v>
      </c>
      <c r="B959">
        <v>8</v>
      </c>
      <c r="C959">
        <v>18</v>
      </c>
      <c r="D959" t="s">
        <v>26</v>
      </c>
      <c r="E959" t="s">
        <v>186</v>
      </c>
      <c r="F959" t="s">
        <v>994</v>
      </c>
      <c r="G959">
        <v>0</v>
      </c>
      <c r="H959">
        <v>5</v>
      </c>
      <c r="I959">
        <v>3</v>
      </c>
      <c r="J959" t="s">
        <v>1230</v>
      </c>
      <c r="K959" t="s">
        <v>1104</v>
      </c>
      <c r="L959">
        <v>36</v>
      </c>
      <c r="M959">
        <v>5</v>
      </c>
      <c r="N959" t="s">
        <v>1107</v>
      </c>
      <c r="O959">
        <v>77.2</v>
      </c>
      <c r="P959">
        <v>7.09</v>
      </c>
      <c r="Q959" t="s">
        <v>1110</v>
      </c>
    </row>
    <row r="960" spans="1:17">
      <c r="A960" s="2">
        <v>45885</v>
      </c>
      <c r="B960">
        <v>8</v>
      </c>
      <c r="C960">
        <v>19</v>
      </c>
      <c r="D960" t="s">
        <v>27</v>
      </c>
      <c r="E960" t="s">
        <v>187</v>
      </c>
      <c r="F960" t="s">
        <v>995</v>
      </c>
      <c r="G960">
        <v>3</v>
      </c>
      <c r="H960">
        <v>3</v>
      </c>
      <c r="I960">
        <v>3</v>
      </c>
      <c r="J960" t="s">
        <v>1230</v>
      </c>
      <c r="K960" t="s">
        <v>1104</v>
      </c>
      <c r="L960">
        <v>36</v>
      </c>
      <c r="M960" t="s">
        <v>1221</v>
      </c>
      <c r="N960" t="s">
        <v>1108</v>
      </c>
      <c r="O960">
        <v>78.400000000000006</v>
      </c>
      <c r="P960">
        <v>5.73</v>
      </c>
      <c r="Q960" t="s">
        <v>1110</v>
      </c>
    </row>
    <row r="961" spans="1:17">
      <c r="A961" s="2">
        <v>45885</v>
      </c>
      <c r="B961">
        <v>8</v>
      </c>
      <c r="C961">
        <v>20</v>
      </c>
      <c r="D961" t="s">
        <v>28</v>
      </c>
      <c r="E961" t="s">
        <v>188</v>
      </c>
      <c r="F961" t="s">
        <v>996</v>
      </c>
      <c r="G961">
        <v>5</v>
      </c>
      <c r="H961">
        <v>0</v>
      </c>
      <c r="I961">
        <v>8</v>
      </c>
      <c r="J961" t="s">
        <v>1230</v>
      </c>
      <c r="K961" t="s">
        <v>1104</v>
      </c>
      <c r="L961">
        <v>36</v>
      </c>
      <c r="N961" t="s">
        <v>1107</v>
      </c>
      <c r="O961">
        <v>75.8</v>
      </c>
      <c r="P961">
        <v>7.03</v>
      </c>
      <c r="Q961" t="s">
        <v>1110</v>
      </c>
    </row>
    <row r="962" spans="1:17">
      <c r="A962" s="2">
        <v>45886</v>
      </c>
      <c r="B962">
        <v>1</v>
      </c>
      <c r="C962">
        <v>1</v>
      </c>
      <c r="D962" t="s">
        <v>17</v>
      </c>
      <c r="E962" t="s">
        <v>29</v>
      </c>
      <c r="F962" t="s">
        <v>29</v>
      </c>
      <c r="G962">
        <v>0</v>
      </c>
      <c r="H962">
        <v>0</v>
      </c>
      <c r="I962">
        <v>0</v>
      </c>
      <c r="J962" t="s">
        <v>1231</v>
      </c>
      <c r="L962">
        <v>33</v>
      </c>
      <c r="N962" t="s">
        <v>1107</v>
      </c>
      <c r="O962">
        <v>87.6</v>
      </c>
      <c r="P962">
        <v>6.37</v>
      </c>
      <c r="Q962" t="s">
        <v>1110</v>
      </c>
    </row>
    <row r="963" spans="1:17">
      <c r="A963" s="2">
        <v>45886</v>
      </c>
      <c r="B963">
        <v>1</v>
      </c>
      <c r="C963">
        <v>2</v>
      </c>
      <c r="D963" t="s">
        <v>1269</v>
      </c>
      <c r="E963" t="s">
        <v>30</v>
      </c>
      <c r="G963">
        <v>0</v>
      </c>
      <c r="H963">
        <v>0</v>
      </c>
      <c r="I963">
        <v>0</v>
      </c>
      <c r="J963" t="s">
        <v>1231</v>
      </c>
      <c r="K963" t="s">
        <v>1105</v>
      </c>
      <c r="L963">
        <v>33</v>
      </c>
      <c r="N963" t="s">
        <v>1107</v>
      </c>
      <c r="O963">
        <v>91</v>
      </c>
      <c r="P963">
        <v>7.86</v>
      </c>
      <c r="Q963" t="s">
        <v>1111</v>
      </c>
    </row>
    <row r="964" spans="1:17">
      <c r="A964" s="2">
        <v>45886</v>
      </c>
      <c r="B964">
        <v>1</v>
      </c>
      <c r="C964">
        <v>3</v>
      </c>
      <c r="D964" t="s">
        <v>18</v>
      </c>
      <c r="E964" t="s">
        <v>31</v>
      </c>
      <c r="G964">
        <v>0</v>
      </c>
      <c r="H964">
        <v>0</v>
      </c>
      <c r="I964">
        <v>0</v>
      </c>
      <c r="J964" t="s">
        <v>1231</v>
      </c>
      <c r="K964" t="s">
        <v>1105</v>
      </c>
      <c r="L964">
        <v>33</v>
      </c>
      <c r="N964" t="s">
        <v>1107</v>
      </c>
      <c r="O964">
        <v>92.7</v>
      </c>
      <c r="P964">
        <v>6.93</v>
      </c>
      <c r="Q964" t="s">
        <v>1111</v>
      </c>
    </row>
    <row r="965" spans="1:17">
      <c r="A965" s="2">
        <v>45886</v>
      </c>
      <c r="B965">
        <v>1</v>
      </c>
      <c r="C965">
        <v>4</v>
      </c>
      <c r="D965" t="s">
        <v>19</v>
      </c>
      <c r="E965" t="s">
        <v>32</v>
      </c>
      <c r="G965">
        <v>0</v>
      </c>
      <c r="H965">
        <v>0</v>
      </c>
      <c r="I965">
        <v>0</v>
      </c>
      <c r="J965" t="s">
        <v>1231</v>
      </c>
      <c r="K965" t="s">
        <v>1105</v>
      </c>
      <c r="L965">
        <v>33</v>
      </c>
      <c r="N965" t="s">
        <v>1107</v>
      </c>
      <c r="O965">
        <v>90.9</v>
      </c>
      <c r="P965">
        <v>7.7</v>
      </c>
      <c r="Q965" t="s">
        <v>1110</v>
      </c>
    </row>
    <row r="966" spans="1:17">
      <c r="A966" s="2">
        <v>45886</v>
      </c>
      <c r="B966">
        <v>1</v>
      </c>
      <c r="C966">
        <v>5</v>
      </c>
      <c r="D966" t="s">
        <v>1115</v>
      </c>
      <c r="E966" t="s">
        <v>33</v>
      </c>
      <c r="G966">
        <v>0</v>
      </c>
      <c r="H966">
        <v>0</v>
      </c>
      <c r="I966">
        <v>0</v>
      </c>
      <c r="J966" t="s">
        <v>1231</v>
      </c>
      <c r="K966" t="s">
        <v>1105</v>
      </c>
      <c r="L966">
        <v>33</v>
      </c>
      <c r="N966" t="s">
        <v>1107</v>
      </c>
      <c r="O966">
        <v>89.2</v>
      </c>
      <c r="P966">
        <v>7.49</v>
      </c>
      <c r="Q966" t="s">
        <v>1110</v>
      </c>
    </row>
    <row r="967" spans="1:17">
      <c r="A967" s="2">
        <v>45886</v>
      </c>
      <c r="B967">
        <v>1</v>
      </c>
      <c r="C967">
        <v>6</v>
      </c>
      <c r="D967" t="s">
        <v>1270</v>
      </c>
      <c r="E967" t="s">
        <v>34</v>
      </c>
      <c r="G967">
        <v>0</v>
      </c>
      <c r="H967">
        <v>0</v>
      </c>
      <c r="I967">
        <v>0</v>
      </c>
      <c r="J967" t="s">
        <v>1231</v>
      </c>
      <c r="K967" t="s">
        <v>1105</v>
      </c>
      <c r="L967">
        <v>33</v>
      </c>
      <c r="N967" t="s">
        <v>1107</v>
      </c>
      <c r="O967">
        <v>94.7</v>
      </c>
      <c r="P967">
        <v>6.98</v>
      </c>
      <c r="Q967" t="s">
        <v>1110</v>
      </c>
    </row>
    <row r="968" spans="1:17">
      <c r="A968" s="2">
        <v>45886</v>
      </c>
      <c r="B968">
        <v>1</v>
      </c>
      <c r="C968">
        <v>7</v>
      </c>
      <c r="D968" t="s">
        <v>1114</v>
      </c>
      <c r="E968" t="s">
        <v>35</v>
      </c>
      <c r="G968">
        <v>0</v>
      </c>
      <c r="H968">
        <v>0</v>
      </c>
      <c r="I968">
        <v>0</v>
      </c>
      <c r="J968" t="s">
        <v>1231</v>
      </c>
      <c r="K968" t="s">
        <v>1105</v>
      </c>
      <c r="L968">
        <v>33</v>
      </c>
      <c r="N968" t="s">
        <v>1107</v>
      </c>
      <c r="O968">
        <v>89.1</v>
      </c>
      <c r="P968">
        <v>7.63</v>
      </c>
      <c r="Q968" t="s">
        <v>1110</v>
      </c>
    </row>
    <row r="969" spans="1:17">
      <c r="A969" s="2">
        <v>45886</v>
      </c>
      <c r="B969">
        <v>1</v>
      </c>
      <c r="C969">
        <v>8</v>
      </c>
      <c r="D969" t="s">
        <v>1271</v>
      </c>
      <c r="E969" t="s">
        <v>36</v>
      </c>
      <c r="G969">
        <v>0</v>
      </c>
      <c r="H969">
        <v>0</v>
      </c>
      <c r="I969">
        <v>0</v>
      </c>
      <c r="J969" t="s">
        <v>1231</v>
      </c>
      <c r="K969" t="s">
        <v>1105</v>
      </c>
      <c r="L969">
        <v>33</v>
      </c>
      <c r="N969" t="s">
        <v>1107</v>
      </c>
      <c r="O969">
        <v>91.4</v>
      </c>
      <c r="P969">
        <v>7.33</v>
      </c>
      <c r="Q969" t="s">
        <v>1110</v>
      </c>
    </row>
    <row r="970" spans="1:17">
      <c r="A970" s="2">
        <v>45886</v>
      </c>
      <c r="B970">
        <v>1</v>
      </c>
      <c r="C970">
        <v>9</v>
      </c>
      <c r="D970" t="s">
        <v>20</v>
      </c>
      <c r="E970" t="s">
        <v>37</v>
      </c>
      <c r="G970">
        <v>0</v>
      </c>
      <c r="H970">
        <v>0</v>
      </c>
      <c r="I970">
        <v>0</v>
      </c>
      <c r="J970" t="s">
        <v>1231</v>
      </c>
      <c r="K970" t="s">
        <v>1105</v>
      </c>
      <c r="L970">
        <v>33</v>
      </c>
      <c r="N970" t="s">
        <v>1107</v>
      </c>
      <c r="O970">
        <v>92.5</v>
      </c>
      <c r="P970">
        <v>7.79</v>
      </c>
      <c r="Q970" t="s">
        <v>1110</v>
      </c>
    </row>
    <row r="971" spans="1:17">
      <c r="A971" s="2">
        <v>45886</v>
      </c>
      <c r="B971">
        <v>1</v>
      </c>
      <c r="C971">
        <v>10</v>
      </c>
      <c r="D971" t="s">
        <v>1113</v>
      </c>
      <c r="E971" t="s">
        <v>38</v>
      </c>
      <c r="G971">
        <v>0</v>
      </c>
      <c r="H971">
        <v>0</v>
      </c>
      <c r="I971">
        <v>0</v>
      </c>
      <c r="J971" t="s">
        <v>1231</v>
      </c>
      <c r="K971" t="s">
        <v>1105</v>
      </c>
      <c r="L971">
        <v>33</v>
      </c>
      <c r="N971" t="s">
        <v>1107</v>
      </c>
      <c r="O971">
        <v>94.9</v>
      </c>
      <c r="P971">
        <v>7.45</v>
      </c>
      <c r="Q971" t="s">
        <v>1110</v>
      </c>
    </row>
    <row r="972" spans="1:17">
      <c r="A972" s="2">
        <v>45886</v>
      </c>
      <c r="B972">
        <v>1</v>
      </c>
      <c r="C972">
        <v>11</v>
      </c>
      <c r="D972" t="s">
        <v>1272</v>
      </c>
      <c r="E972" t="s">
        <v>39</v>
      </c>
      <c r="G972">
        <v>0</v>
      </c>
      <c r="H972">
        <v>0</v>
      </c>
      <c r="I972">
        <v>0</v>
      </c>
      <c r="J972" t="s">
        <v>1231</v>
      </c>
      <c r="K972" t="s">
        <v>1105</v>
      </c>
      <c r="L972">
        <v>33</v>
      </c>
      <c r="N972" t="s">
        <v>1107</v>
      </c>
      <c r="O972">
        <v>92</v>
      </c>
      <c r="P972">
        <v>6.57</v>
      </c>
      <c r="Q972" t="s">
        <v>1110</v>
      </c>
    </row>
    <row r="973" spans="1:17">
      <c r="A973" s="2">
        <v>45886</v>
      </c>
      <c r="B973">
        <v>1</v>
      </c>
      <c r="C973">
        <v>12</v>
      </c>
      <c r="D973" t="s">
        <v>21</v>
      </c>
      <c r="E973" t="s">
        <v>40</v>
      </c>
      <c r="G973">
        <v>0</v>
      </c>
      <c r="H973">
        <v>0</v>
      </c>
      <c r="I973">
        <v>0</v>
      </c>
      <c r="J973" t="s">
        <v>1231</v>
      </c>
      <c r="K973" t="s">
        <v>1105</v>
      </c>
      <c r="L973">
        <v>33</v>
      </c>
      <c r="N973" t="s">
        <v>1107</v>
      </c>
      <c r="O973">
        <v>86.7</v>
      </c>
      <c r="P973">
        <v>6.12</v>
      </c>
      <c r="Q973" t="s">
        <v>1110</v>
      </c>
    </row>
    <row r="974" spans="1:17">
      <c r="A974" s="2">
        <v>45886</v>
      </c>
      <c r="B974">
        <v>1</v>
      </c>
      <c r="C974">
        <v>13</v>
      </c>
      <c r="D974" t="s">
        <v>22</v>
      </c>
      <c r="E974" t="s">
        <v>41</v>
      </c>
      <c r="G974">
        <v>0</v>
      </c>
      <c r="H974">
        <v>0</v>
      </c>
      <c r="I974">
        <v>0</v>
      </c>
      <c r="J974" t="s">
        <v>1231</v>
      </c>
      <c r="K974" t="s">
        <v>1105</v>
      </c>
      <c r="L974">
        <v>33</v>
      </c>
      <c r="N974" t="s">
        <v>1107</v>
      </c>
      <c r="O974">
        <v>86.8</v>
      </c>
      <c r="P974">
        <v>7.85</v>
      </c>
      <c r="Q974" t="s">
        <v>1110</v>
      </c>
    </row>
    <row r="975" spans="1:17">
      <c r="A975" s="2">
        <v>45886</v>
      </c>
      <c r="B975">
        <v>1</v>
      </c>
      <c r="C975">
        <v>14</v>
      </c>
      <c r="D975" t="s">
        <v>23</v>
      </c>
      <c r="E975" t="s">
        <v>42</v>
      </c>
      <c r="G975">
        <v>0</v>
      </c>
      <c r="H975">
        <v>0</v>
      </c>
      <c r="I975">
        <v>0</v>
      </c>
      <c r="J975" t="s">
        <v>1231</v>
      </c>
      <c r="K975" t="s">
        <v>1105</v>
      </c>
      <c r="L975">
        <v>33</v>
      </c>
      <c r="N975" t="s">
        <v>1107</v>
      </c>
      <c r="O975">
        <v>86.9</v>
      </c>
      <c r="P975">
        <v>5.18</v>
      </c>
      <c r="Q975" t="s">
        <v>1110</v>
      </c>
    </row>
    <row r="976" spans="1:17">
      <c r="A976" s="2">
        <v>45886</v>
      </c>
      <c r="B976">
        <v>1</v>
      </c>
      <c r="C976">
        <v>15</v>
      </c>
      <c r="D976" t="s">
        <v>24</v>
      </c>
      <c r="E976" t="s">
        <v>43</v>
      </c>
      <c r="G976">
        <v>0</v>
      </c>
      <c r="H976">
        <v>0</v>
      </c>
      <c r="I976">
        <v>0</v>
      </c>
      <c r="J976" t="s">
        <v>1231</v>
      </c>
      <c r="K976" t="s">
        <v>1105</v>
      </c>
      <c r="L976">
        <v>33</v>
      </c>
      <c r="N976" t="s">
        <v>1107</v>
      </c>
      <c r="O976">
        <v>87.6</v>
      </c>
      <c r="P976">
        <v>7.71</v>
      </c>
      <c r="Q976" t="s">
        <v>1110</v>
      </c>
    </row>
    <row r="977" spans="1:17">
      <c r="A977" s="2">
        <v>45886</v>
      </c>
      <c r="B977">
        <v>1</v>
      </c>
      <c r="C977">
        <v>16</v>
      </c>
      <c r="D977" t="s">
        <v>1273</v>
      </c>
      <c r="E977" t="s">
        <v>44</v>
      </c>
      <c r="G977">
        <v>0</v>
      </c>
      <c r="H977">
        <v>0</v>
      </c>
      <c r="I977">
        <v>0</v>
      </c>
      <c r="J977" t="s">
        <v>1231</v>
      </c>
      <c r="K977" t="s">
        <v>1105</v>
      </c>
      <c r="L977">
        <v>33</v>
      </c>
      <c r="N977" t="s">
        <v>1107</v>
      </c>
      <c r="O977">
        <v>91.2</v>
      </c>
      <c r="P977">
        <v>7.61</v>
      </c>
      <c r="Q977" t="s">
        <v>1110</v>
      </c>
    </row>
    <row r="978" spans="1:17">
      <c r="A978" s="2">
        <v>45886</v>
      </c>
      <c r="B978">
        <v>1</v>
      </c>
      <c r="C978">
        <v>17</v>
      </c>
      <c r="D978" t="s">
        <v>25</v>
      </c>
      <c r="E978" t="s">
        <v>45</v>
      </c>
      <c r="G978">
        <v>0</v>
      </c>
      <c r="H978">
        <v>0</v>
      </c>
      <c r="I978">
        <v>0</v>
      </c>
      <c r="J978" t="s">
        <v>1231</v>
      </c>
      <c r="K978" t="s">
        <v>1105</v>
      </c>
      <c r="L978">
        <v>33</v>
      </c>
      <c r="N978" t="s">
        <v>1107</v>
      </c>
      <c r="O978">
        <v>88.8</v>
      </c>
      <c r="P978">
        <v>5.83</v>
      </c>
      <c r="Q978" t="s">
        <v>1110</v>
      </c>
    </row>
    <row r="979" spans="1:17">
      <c r="A979" s="2">
        <v>45886</v>
      </c>
      <c r="B979">
        <v>1</v>
      </c>
      <c r="C979">
        <v>18</v>
      </c>
      <c r="D979" t="s">
        <v>26</v>
      </c>
      <c r="E979" t="s">
        <v>46</v>
      </c>
      <c r="G979">
        <v>0</v>
      </c>
      <c r="H979">
        <v>0</v>
      </c>
      <c r="I979">
        <v>0</v>
      </c>
      <c r="J979" t="s">
        <v>1231</v>
      </c>
      <c r="K979" t="s">
        <v>1105</v>
      </c>
      <c r="L979">
        <v>33</v>
      </c>
      <c r="N979" t="s">
        <v>1107</v>
      </c>
      <c r="O979">
        <v>89.8</v>
      </c>
      <c r="P979">
        <v>7.02</v>
      </c>
      <c r="Q979" t="s">
        <v>1110</v>
      </c>
    </row>
    <row r="980" spans="1:17">
      <c r="A980" s="2">
        <v>45886</v>
      </c>
      <c r="B980">
        <v>1</v>
      </c>
      <c r="C980">
        <v>19</v>
      </c>
      <c r="D980" t="s">
        <v>27</v>
      </c>
      <c r="E980" t="s">
        <v>47</v>
      </c>
      <c r="G980">
        <v>0</v>
      </c>
      <c r="H980">
        <v>0</v>
      </c>
      <c r="I980">
        <v>0</v>
      </c>
      <c r="J980" t="s">
        <v>1231</v>
      </c>
      <c r="K980" t="s">
        <v>1105</v>
      </c>
      <c r="L980">
        <v>33</v>
      </c>
      <c r="N980" t="s">
        <v>1107</v>
      </c>
      <c r="O980">
        <v>92.5</v>
      </c>
      <c r="P980">
        <v>5.0199999999999996</v>
      </c>
      <c r="Q980" t="s">
        <v>1110</v>
      </c>
    </row>
    <row r="981" spans="1:17">
      <c r="A981" s="2">
        <v>45886</v>
      </c>
      <c r="B981">
        <v>1</v>
      </c>
      <c r="C981">
        <v>20</v>
      </c>
      <c r="D981" t="s">
        <v>28</v>
      </c>
      <c r="E981" t="s">
        <v>48</v>
      </c>
      <c r="G981">
        <v>0</v>
      </c>
      <c r="H981">
        <v>0</v>
      </c>
      <c r="I981">
        <v>0</v>
      </c>
      <c r="J981" t="s">
        <v>1231</v>
      </c>
      <c r="K981" t="s">
        <v>1105</v>
      </c>
      <c r="L981">
        <v>33</v>
      </c>
      <c r="N981" t="s">
        <v>1106</v>
      </c>
      <c r="O981">
        <v>86</v>
      </c>
      <c r="P981">
        <v>6.57</v>
      </c>
      <c r="Q981" t="s">
        <v>1110</v>
      </c>
    </row>
    <row r="982" spans="1:17">
      <c r="A982" s="2">
        <v>45886</v>
      </c>
      <c r="B982">
        <v>2</v>
      </c>
      <c r="C982">
        <v>1</v>
      </c>
      <c r="D982" t="s">
        <v>17</v>
      </c>
      <c r="E982" t="s">
        <v>49</v>
      </c>
      <c r="F982" t="s">
        <v>997</v>
      </c>
      <c r="G982">
        <v>0</v>
      </c>
      <c r="H982">
        <v>0</v>
      </c>
      <c r="I982">
        <v>0</v>
      </c>
      <c r="J982" t="s">
        <v>1230</v>
      </c>
      <c r="L982">
        <v>34</v>
      </c>
      <c r="N982" t="s">
        <v>1107</v>
      </c>
      <c r="O982">
        <v>84.7</v>
      </c>
      <c r="P982">
        <v>7.28</v>
      </c>
      <c r="Q982" t="s">
        <v>1111</v>
      </c>
    </row>
    <row r="983" spans="1:17">
      <c r="A983" s="2">
        <v>45886</v>
      </c>
      <c r="B983">
        <v>2</v>
      </c>
      <c r="C983">
        <v>2</v>
      </c>
      <c r="D983" t="s">
        <v>1269</v>
      </c>
      <c r="E983" t="s">
        <v>50</v>
      </c>
      <c r="F983" t="s">
        <v>998</v>
      </c>
      <c r="G983">
        <v>5</v>
      </c>
      <c r="H983">
        <v>0</v>
      </c>
      <c r="I983">
        <v>5</v>
      </c>
      <c r="J983" t="s">
        <v>1230</v>
      </c>
      <c r="L983">
        <v>34</v>
      </c>
      <c r="N983" t="s">
        <v>1107</v>
      </c>
      <c r="O983">
        <v>68.400000000000006</v>
      </c>
      <c r="P983">
        <v>6.29</v>
      </c>
      <c r="Q983" t="s">
        <v>1110</v>
      </c>
    </row>
    <row r="984" spans="1:17">
      <c r="A984" s="2">
        <v>45886</v>
      </c>
      <c r="B984">
        <v>2</v>
      </c>
      <c r="C984">
        <v>3</v>
      </c>
      <c r="D984" t="s">
        <v>18</v>
      </c>
      <c r="E984" t="s">
        <v>51</v>
      </c>
      <c r="F984" t="s">
        <v>999</v>
      </c>
      <c r="G984">
        <v>2</v>
      </c>
      <c r="H984">
        <v>0</v>
      </c>
      <c r="I984">
        <v>7</v>
      </c>
      <c r="J984" t="s">
        <v>1230</v>
      </c>
      <c r="L984">
        <v>34</v>
      </c>
      <c r="N984" t="s">
        <v>1107</v>
      </c>
      <c r="O984">
        <v>85</v>
      </c>
      <c r="P984">
        <v>7.45</v>
      </c>
      <c r="Q984" t="s">
        <v>1111</v>
      </c>
    </row>
    <row r="985" spans="1:17">
      <c r="A985" s="2">
        <v>45886</v>
      </c>
      <c r="B985">
        <v>2</v>
      </c>
      <c r="C985">
        <v>4</v>
      </c>
      <c r="D985" t="s">
        <v>19</v>
      </c>
      <c r="E985" t="s">
        <v>52</v>
      </c>
      <c r="F985" t="s">
        <v>1000</v>
      </c>
      <c r="G985">
        <v>4</v>
      </c>
      <c r="H985">
        <v>1</v>
      </c>
      <c r="I985">
        <v>10</v>
      </c>
      <c r="J985" t="s">
        <v>1230</v>
      </c>
      <c r="L985">
        <v>34</v>
      </c>
      <c r="N985" t="s">
        <v>1107</v>
      </c>
      <c r="O985">
        <v>69.5</v>
      </c>
      <c r="P985">
        <v>5.17</v>
      </c>
      <c r="Q985" t="s">
        <v>1110</v>
      </c>
    </row>
    <row r="986" spans="1:17">
      <c r="A986" s="2">
        <v>45886</v>
      </c>
      <c r="B986">
        <v>2</v>
      </c>
      <c r="C986">
        <v>5</v>
      </c>
      <c r="D986" t="s">
        <v>1115</v>
      </c>
      <c r="E986" t="s">
        <v>53</v>
      </c>
      <c r="F986" t="s">
        <v>1001</v>
      </c>
      <c r="G986">
        <v>5</v>
      </c>
      <c r="H986">
        <v>3</v>
      </c>
      <c r="I986">
        <v>12</v>
      </c>
      <c r="J986" t="s">
        <v>1230</v>
      </c>
      <c r="L986">
        <v>34</v>
      </c>
      <c r="M986">
        <v>9.4</v>
      </c>
      <c r="N986" t="s">
        <v>1107</v>
      </c>
      <c r="O986">
        <v>62.5</v>
      </c>
      <c r="P986">
        <v>6.37</v>
      </c>
      <c r="Q986" t="s">
        <v>1110</v>
      </c>
    </row>
    <row r="987" spans="1:17">
      <c r="A987" s="2">
        <v>45886</v>
      </c>
      <c r="B987">
        <v>2</v>
      </c>
      <c r="C987">
        <v>6</v>
      </c>
      <c r="D987" t="s">
        <v>1270</v>
      </c>
      <c r="E987" t="s">
        <v>54</v>
      </c>
      <c r="F987" t="s">
        <v>1002</v>
      </c>
      <c r="G987">
        <v>3</v>
      </c>
      <c r="H987">
        <v>2</v>
      </c>
      <c r="I987">
        <v>13</v>
      </c>
      <c r="J987" t="s">
        <v>1230</v>
      </c>
      <c r="L987">
        <v>34</v>
      </c>
      <c r="M987">
        <v>9</v>
      </c>
      <c r="N987" t="s">
        <v>1107</v>
      </c>
      <c r="O987">
        <v>82.2</v>
      </c>
      <c r="P987">
        <v>5.42</v>
      </c>
      <c r="Q987" t="s">
        <v>1110</v>
      </c>
    </row>
    <row r="988" spans="1:17">
      <c r="A988" s="2">
        <v>45886</v>
      </c>
      <c r="B988">
        <v>2</v>
      </c>
      <c r="C988">
        <v>7</v>
      </c>
      <c r="D988" t="s">
        <v>1114</v>
      </c>
      <c r="E988" t="s">
        <v>55</v>
      </c>
      <c r="F988" t="s">
        <v>1003</v>
      </c>
      <c r="G988">
        <v>5</v>
      </c>
      <c r="H988">
        <v>1</v>
      </c>
      <c r="I988">
        <v>17</v>
      </c>
      <c r="J988" t="s">
        <v>1230</v>
      </c>
      <c r="L988">
        <v>34</v>
      </c>
      <c r="M988">
        <v>9.4</v>
      </c>
      <c r="N988" t="s">
        <v>1107</v>
      </c>
      <c r="O988">
        <v>67</v>
      </c>
      <c r="P988">
        <v>7.1</v>
      </c>
      <c r="Q988" t="s">
        <v>1111</v>
      </c>
    </row>
    <row r="989" spans="1:17">
      <c r="A989" s="2">
        <v>45886</v>
      </c>
      <c r="B989">
        <v>2</v>
      </c>
      <c r="C989">
        <v>8</v>
      </c>
      <c r="D989" t="s">
        <v>1271</v>
      </c>
      <c r="E989" t="s">
        <v>56</v>
      </c>
      <c r="F989" t="s">
        <v>1004</v>
      </c>
      <c r="G989">
        <v>5</v>
      </c>
      <c r="H989">
        <v>4</v>
      </c>
      <c r="I989">
        <v>18</v>
      </c>
      <c r="J989" t="s">
        <v>1230</v>
      </c>
      <c r="L989">
        <v>34</v>
      </c>
      <c r="M989">
        <v>9.1999999999999993</v>
      </c>
      <c r="N989" t="s">
        <v>1107</v>
      </c>
      <c r="O989">
        <v>75.5</v>
      </c>
      <c r="P989">
        <v>6.98</v>
      </c>
      <c r="Q989" t="s">
        <v>1110</v>
      </c>
    </row>
    <row r="990" spans="1:17">
      <c r="A990" s="2">
        <v>45886</v>
      </c>
      <c r="B990">
        <v>2</v>
      </c>
      <c r="C990">
        <v>9</v>
      </c>
      <c r="D990" t="s">
        <v>20</v>
      </c>
      <c r="E990" t="s">
        <v>57</v>
      </c>
      <c r="F990" t="s">
        <v>1005</v>
      </c>
      <c r="G990">
        <v>0</v>
      </c>
      <c r="H990">
        <v>0</v>
      </c>
      <c r="I990">
        <v>18</v>
      </c>
      <c r="J990" t="s">
        <v>1230</v>
      </c>
      <c r="L990">
        <v>34</v>
      </c>
      <c r="N990" t="s">
        <v>1107</v>
      </c>
      <c r="O990">
        <v>64.7</v>
      </c>
      <c r="P990">
        <v>7.96</v>
      </c>
      <c r="Q990" t="s">
        <v>1112</v>
      </c>
    </row>
    <row r="991" spans="1:17">
      <c r="A991" s="2">
        <v>45886</v>
      </c>
      <c r="B991">
        <v>2</v>
      </c>
      <c r="C991">
        <v>10</v>
      </c>
      <c r="D991" t="s">
        <v>1113</v>
      </c>
      <c r="E991" t="s">
        <v>58</v>
      </c>
      <c r="F991" t="s">
        <v>1006</v>
      </c>
      <c r="G991">
        <v>2</v>
      </c>
      <c r="H991">
        <v>0</v>
      </c>
      <c r="I991">
        <v>20</v>
      </c>
      <c r="J991" t="s">
        <v>1230</v>
      </c>
      <c r="L991">
        <v>34</v>
      </c>
      <c r="N991" t="s">
        <v>1107</v>
      </c>
      <c r="O991">
        <v>60.4</v>
      </c>
      <c r="P991">
        <v>6.08</v>
      </c>
      <c r="Q991" t="s">
        <v>1110</v>
      </c>
    </row>
    <row r="992" spans="1:17">
      <c r="A992" s="2">
        <v>45886</v>
      </c>
      <c r="B992">
        <v>2</v>
      </c>
      <c r="C992">
        <v>11</v>
      </c>
      <c r="D992" t="s">
        <v>1272</v>
      </c>
      <c r="E992" t="s">
        <v>59</v>
      </c>
      <c r="F992" t="s">
        <v>1007</v>
      </c>
      <c r="G992">
        <v>4</v>
      </c>
      <c r="H992">
        <v>4</v>
      </c>
      <c r="I992">
        <v>20</v>
      </c>
      <c r="J992" t="s">
        <v>1230</v>
      </c>
      <c r="L992">
        <v>34</v>
      </c>
      <c r="M992">
        <v>9.8000000000000007</v>
      </c>
      <c r="N992" t="s">
        <v>1107</v>
      </c>
      <c r="O992">
        <v>68.099999999999994</v>
      </c>
      <c r="P992">
        <v>6.33</v>
      </c>
      <c r="Q992" t="s">
        <v>1110</v>
      </c>
    </row>
    <row r="993" spans="1:17">
      <c r="A993" s="2">
        <v>45886</v>
      </c>
      <c r="B993">
        <v>2</v>
      </c>
      <c r="C993">
        <v>12</v>
      </c>
      <c r="D993" t="s">
        <v>21</v>
      </c>
      <c r="E993" t="s">
        <v>60</v>
      </c>
      <c r="F993" t="s">
        <v>1008</v>
      </c>
      <c r="G993">
        <v>0</v>
      </c>
      <c r="H993">
        <v>2</v>
      </c>
      <c r="I993">
        <v>18</v>
      </c>
      <c r="J993" t="s">
        <v>1230</v>
      </c>
      <c r="L993">
        <v>34</v>
      </c>
      <c r="M993">
        <v>9.6999999999999993</v>
      </c>
      <c r="N993" t="s">
        <v>1107</v>
      </c>
      <c r="O993">
        <v>75.3</v>
      </c>
      <c r="P993">
        <v>5.24</v>
      </c>
      <c r="Q993" t="s">
        <v>1110</v>
      </c>
    </row>
    <row r="994" spans="1:17">
      <c r="A994" s="2">
        <v>45886</v>
      </c>
      <c r="B994">
        <v>2</v>
      </c>
      <c r="C994">
        <v>13</v>
      </c>
      <c r="D994" t="s">
        <v>22</v>
      </c>
      <c r="E994" t="s">
        <v>61</v>
      </c>
      <c r="F994" t="s">
        <v>1009</v>
      </c>
      <c r="G994">
        <v>3</v>
      </c>
      <c r="H994">
        <v>3</v>
      </c>
      <c r="I994">
        <v>18</v>
      </c>
      <c r="J994" t="s">
        <v>1230</v>
      </c>
      <c r="L994">
        <v>34</v>
      </c>
      <c r="M994">
        <v>9.5</v>
      </c>
      <c r="N994" t="s">
        <v>1108</v>
      </c>
      <c r="O994">
        <v>83.3</v>
      </c>
      <c r="P994">
        <v>7.96</v>
      </c>
      <c r="Q994" t="s">
        <v>1111</v>
      </c>
    </row>
    <row r="995" spans="1:17">
      <c r="A995" s="2">
        <v>45886</v>
      </c>
      <c r="B995">
        <v>2</v>
      </c>
      <c r="C995">
        <v>14</v>
      </c>
      <c r="D995" t="s">
        <v>23</v>
      </c>
      <c r="E995" t="s">
        <v>62</v>
      </c>
      <c r="F995" t="s">
        <v>1010</v>
      </c>
      <c r="G995">
        <v>3</v>
      </c>
      <c r="H995">
        <v>4</v>
      </c>
      <c r="I995">
        <v>17</v>
      </c>
      <c r="J995" t="s">
        <v>1230</v>
      </c>
      <c r="L995">
        <v>34</v>
      </c>
      <c r="M995">
        <v>8.5</v>
      </c>
      <c r="N995" t="s">
        <v>1108</v>
      </c>
      <c r="O995">
        <v>78.400000000000006</v>
      </c>
      <c r="P995">
        <v>5.88</v>
      </c>
      <c r="Q995" t="s">
        <v>1110</v>
      </c>
    </row>
    <row r="996" spans="1:17">
      <c r="A996" s="2">
        <v>45886</v>
      </c>
      <c r="B996">
        <v>2</v>
      </c>
      <c r="C996">
        <v>15</v>
      </c>
      <c r="D996" t="s">
        <v>24</v>
      </c>
      <c r="E996" t="s">
        <v>63</v>
      </c>
      <c r="F996" t="s">
        <v>1011</v>
      </c>
      <c r="G996">
        <v>4</v>
      </c>
      <c r="H996">
        <v>5</v>
      </c>
      <c r="I996">
        <v>16</v>
      </c>
      <c r="J996" t="s">
        <v>1230</v>
      </c>
      <c r="L996">
        <v>34</v>
      </c>
      <c r="M996">
        <v>9.8000000000000007</v>
      </c>
      <c r="N996" t="s">
        <v>1107</v>
      </c>
      <c r="O996">
        <v>73</v>
      </c>
      <c r="P996">
        <v>6.72</v>
      </c>
      <c r="Q996" t="s">
        <v>1111</v>
      </c>
    </row>
    <row r="997" spans="1:17">
      <c r="A997" s="2">
        <v>45886</v>
      </c>
      <c r="B997">
        <v>2</v>
      </c>
      <c r="C997">
        <v>16</v>
      </c>
      <c r="D997" t="s">
        <v>1273</v>
      </c>
      <c r="E997" t="s">
        <v>64</v>
      </c>
      <c r="F997" t="s">
        <v>64</v>
      </c>
      <c r="G997">
        <v>4</v>
      </c>
      <c r="H997">
        <v>0</v>
      </c>
      <c r="I997">
        <v>20</v>
      </c>
      <c r="J997" t="s">
        <v>1230</v>
      </c>
      <c r="L997">
        <v>34</v>
      </c>
      <c r="N997" t="s">
        <v>1107</v>
      </c>
      <c r="O997">
        <v>63.2</v>
      </c>
      <c r="P997">
        <v>7.39</v>
      </c>
      <c r="Q997" t="s">
        <v>1110</v>
      </c>
    </row>
    <row r="998" spans="1:17">
      <c r="A998" s="2">
        <v>45886</v>
      </c>
      <c r="B998">
        <v>2</v>
      </c>
      <c r="C998">
        <v>17</v>
      </c>
      <c r="D998" t="s">
        <v>25</v>
      </c>
      <c r="E998" t="s">
        <v>65</v>
      </c>
      <c r="F998" t="s">
        <v>503</v>
      </c>
      <c r="G998">
        <v>5</v>
      </c>
      <c r="H998">
        <v>1</v>
      </c>
      <c r="I998">
        <v>24</v>
      </c>
      <c r="J998" t="s">
        <v>1230</v>
      </c>
      <c r="K998" t="s">
        <v>1104</v>
      </c>
      <c r="L998">
        <v>34</v>
      </c>
      <c r="M998">
        <v>5.2</v>
      </c>
      <c r="N998" t="s">
        <v>1107</v>
      </c>
      <c r="O998">
        <v>73.7</v>
      </c>
      <c r="P998">
        <v>7.62</v>
      </c>
      <c r="Q998" t="s">
        <v>1110</v>
      </c>
    </row>
    <row r="999" spans="1:17">
      <c r="A999" s="2">
        <v>45886</v>
      </c>
      <c r="B999">
        <v>2</v>
      </c>
      <c r="C999">
        <v>18</v>
      </c>
      <c r="D999" t="s">
        <v>26</v>
      </c>
      <c r="E999" t="s">
        <v>66</v>
      </c>
      <c r="F999" t="s">
        <v>368</v>
      </c>
      <c r="G999">
        <v>1</v>
      </c>
      <c r="H999">
        <v>2</v>
      </c>
      <c r="I999">
        <v>23</v>
      </c>
      <c r="J999" t="s">
        <v>1230</v>
      </c>
      <c r="K999" t="s">
        <v>1104</v>
      </c>
      <c r="L999">
        <v>34</v>
      </c>
      <c r="M999">
        <v>5.3</v>
      </c>
      <c r="N999" t="s">
        <v>1107</v>
      </c>
      <c r="O999">
        <v>62.9</v>
      </c>
      <c r="P999">
        <v>6.99</v>
      </c>
      <c r="Q999" t="s">
        <v>1110</v>
      </c>
    </row>
    <row r="1000" spans="1:17">
      <c r="A1000" s="2">
        <v>45886</v>
      </c>
      <c r="B1000">
        <v>2</v>
      </c>
      <c r="C1000">
        <v>19</v>
      </c>
      <c r="D1000" t="s">
        <v>27</v>
      </c>
      <c r="E1000" t="s">
        <v>67</v>
      </c>
      <c r="F1000" t="s">
        <v>1012</v>
      </c>
      <c r="G1000">
        <v>1</v>
      </c>
      <c r="H1000">
        <v>5</v>
      </c>
      <c r="I1000">
        <v>19</v>
      </c>
      <c r="J1000" t="s">
        <v>1230</v>
      </c>
      <c r="K1000" t="s">
        <v>1104</v>
      </c>
      <c r="L1000">
        <v>34</v>
      </c>
      <c r="N1000" t="s">
        <v>1107</v>
      </c>
      <c r="O1000">
        <v>78.8</v>
      </c>
      <c r="P1000">
        <v>6.98</v>
      </c>
      <c r="Q1000" t="s">
        <v>1110</v>
      </c>
    </row>
    <row r="1001" spans="1:17">
      <c r="A1001" s="2">
        <v>45886</v>
      </c>
      <c r="B1001">
        <v>2</v>
      </c>
      <c r="C1001">
        <v>20</v>
      </c>
      <c r="D1001" t="s">
        <v>28</v>
      </c>
      <c r="E1001" t="s">
        <v>68</v>
      </c>
      <c r="F1001" t="s">
        <v>1013</v>
      </c>
      <c r="G1001">
        <v>2</v>
      </c>
      <c r="H1001">
        <v>2</v>
      </c>
      <c r="I1001">
        <v>19</v>
      </c>
      <c r="J1001" t="s">
        <v>1230</v>
      </c>
      <c r="K1001" t="s">
        <v>1104</v>
      </c>
      <c r="L1001">
        <v>34</v>
      </c>
      <c r="M1001">
        <v>5.2</v>
      </c>
      <c r="N1001" t="s">
        <v>1107</v>
      </c>
      <c r="O1001">
        <v>77.900000000000006</v>
      </c>
      <c r="P1001">
        <v>5.48</v>
      </c>
      <c r="Q1001" t="s">
        <v>1111</v>
      </c>
    </row>
    <row r="1002" spans="1:17">
      <c r="A1002" s="2">
        <v>45886</v>
      </c>
      <c r="B1002">
        <v>3</v>
      </c>
      <c r="C1002">
        <v>1</v>
      </c>
      <c r="D1002" t="s">
        <v>17</v>
      </c>
      <c r="E1002" t="s">
        <v>69</v>
      </c>
      <c r="F1002" t="s">
        <v>1014</v>
      </c>
      <c r="G1002">
        <v>0</v>
      </c>
      <c r="H1002">
        <v>0</v>
      </c>
      <c r="I1002">
        <v>0</v>
      </c>
      <c r="J1002" t="s">
        <v>1230</v>
      </c>
      <c r="L1002">
        <v>33</v>
      </c>
      <c r="N1002" t="s">
        <v>1108</v>
      </c>
      <c r="O1002">
        <v>79.2</v>
      </c>
      <c r="P1002">
        <v>5.66</v>
      </c>
      <c r="Q1002" t="s">
        <v>1110</v>
      </c>
    </row>
    <row r="1003" spans="1:17">
      <c r="A1003" s="2">
        <v>45886</v>
      </c>
      <c r="B1003">
        <v>3</v>
      </c>
      <c r="C1003">
        <v>2</v>
      </c>
      <c r="D1003" t="s">
        <v>1269</v>
      </c>
      <c r="E1003" t="s">
        <v>70</v>
      </c>
      <c r="F1003" t="s">
        <v>1015</v>
      </c>
      <c r="G1003">
        <v>3</v>
      </c>
      <c r="H1003">
        <v>0</v>
      </c>
      <c r="I1003">
        <v>3</v>
      </c>
      <c r="J1003" t="s">
        <v>1230</v>
      </c>
      <c r="L1003">
        <v>33</v>
      </c>
      <c r="N1003" t="s">
        <v>1107</v>
      </c>
      <c r="O1003">
        <v>82.4</v>
      </c>
      <c r="P1003">
        <v>5.37</v>
      </c>
      <c r="Q1003" t="s">
        <v>1110</v>
      </c>
    </row>
    <row r="1004" spans="1:17">
      <c r="A1004" s="2">
        <v>45886</v>
      </c>
      <c r="B1004">
        <v>3</v>
      </c>
      <c r="C1004">
        <v>3</v>
      </c>
      <c r="D1004" t="s">
        <v>18</v>
      </c>
      <c r="E1004" t="s">
        <v>71</v>
      </c>
      <c r="F1004" t="s">
        <v>1016</v>
      </c>
      <c r="G1004">
        <v>0</v>
      </c>
      <c r="H1004">
        <v>2</v>
      </c>
      <c r="I1004">
        <v>1</v>
      </c>
      <c r="J1004" t="s">
        <v>1230</v>
      </c>
      <c r="L1004">
        <v>33</v>
      </c>
      <c r="M1004">
        <v>10</v>
      </c>
      <c r="N1004" t="s">
        <v>1107</v>
      </c>
      <c r="O1004">
        <v>78.099999999999994</v>
      </c>
      <c r="P1004">
        <v>5.27</v>
      </c>
      <c r="Q1004" t="s">
        <v>1110</v>
      </c>
    </row>
    <row r="1005" spans="1:17">
      <c r="A1005" s="2">
        <v>45886</v>
      </c>
      <c r="B1005">
        <v>3</v>
      </c>
      <c r="C1005">
        <v>4</v>
      </c>
      <c r="D1005" t="s">
        <v>19</v>
      </c>
      <c r="E1005" t="s">
        <v>72</v>
      </c>
      <c r="F1005" t="s">
        <v>1017</v>
      </c>
      <c r="G1005">
        <v>3</v>
      </c>
      <c r="H1005">
        <v>0</v>
      </c>
      <c r="I1005">
        <v>4</v>
      </c>
      <c r="J1005" t="s">
        <v>1230</v>
      </c>
      <c r="L1005">
        <v>33</v>
      </c>
      <c r="N1005" t="s">
        <v>1107</v>
      </c>
      <c r="O1005">
        <v>83.3</v>
      </c>
      <c r="P1005">
        <v>7.3</v>
      </c>
      <c r="Q1005" t="s">
        <v>1110</v>
      </c>
    </row>
    <row r="1006" spans="1:17">
      <c r="A1006" s="2">
        <v>45886</v>
      </c>
      <c r="B1006">
        <v>3</v>
      </c>
      <c r="C1006">
        <v>5</v>
      </c>
      <c r="D1006" t="s">
        <v>1115</v>
      </c>
      <c r="E1006" t="s">
        <v>73</v>
      </c>
      <c r="F1006" t="s">
        <v>1018</v>
      </c>
      <c r="G1006">
        <v>4</v>
      </c>
      <c r="H1006">
        <v>4</v>
      </c>
      <c r="I1006">
        <v>4</v>
      </c>
      <c r="J1006" t="s">
        <v>1230</v>
      </c>
      <c r="L1006">
        <v>33</v>
      </c>
      <c r="M1006">
        <v>10</v>
      </c>
      <c r="N1006" t="s">
        <v>1107</v>
      </c>
      <c r="O1006">
        <v>69.400000000000006</v>
      </c>
      <c r="P1006">
        <v>7.15</v>
      </c>
      <c r="Q1006" t="s">
        <v>1110</v>
      </c>
    </row>
    <row r="1007" spans="1:17">
      <c r="A1007" s="2">
        <v>45886</v>
      </c>
      <c r="B1007">
        <v>3</v>
      </c>
      <c r="C1007">
        <v>6</v>
      </c>
      <c r="D1007" t="s">
        <v>1270</v>
      </c>
      <c r="E1007" t="s">
        <v>74</v>
      </c>
      <c r="F1007" t="s">
        <v>1019</v>
      </c>
      <c r="G1007">
        <v>0</v>
      </c>
      <c r="H1007">
        <v>0</v>
      </c>
      <c r="I1007">
        <v>4</v>
      </c>
      <c r="J1007" t="s">
        <v>1230</v>
      </c>
      <c r="L1007">
        <v>33</v>
      </c>
      <c r="N1007" t="s">
        <v>1107</v>
      </c>
      <c r="O1007">
        <v>76.099999999999994</v>
      </c>
      <c r="P1007">
        <v>6.69</v>
      </c>
      <c r="Q1007" t="s">
        <v>1111</v>
      </c>
    </row>
    <row r="1008" spans="1:17">
      <c r="A1008" s="2">
        <v>45886</v>
      </c>
      <c r="B1008">
        <v>3</v>
      </c>
      <c r="C1008">
        <v>7</v>
      </c>
      <c r="D1008" t="s">
        <v>1114</v>
      </c>
      <c r="E1008" t="s">
        <v>75</v>
      </c>
      <c r="F1008" t="s">
        <v>1020</v>
      </c>
      <c r="G1008">
        <v>4</v>
      </c>
      <c r="H1008">
        <v>0</v>
      </c>
      <c r="I1008">
        <v>8</v>
      </c>
      <c r="J1008" t="s">
        <v>1230</v>
      </c>
      <c r="L1008">
        <v>33</v>
      </c>
      <c r="N1008" t="s">
        <v>1107</v>
      </c>
      <c r="O1008">
        <v>65.599999999999994</v>
      </c>
      <c r="P1008">
        <v>5.35</v>
      </c>
      <c r="Q1008" t="s">
        <v>1110</v>
      </c>
    </row>
    <row r="1009" spans="1:17">
      <c r="A1009" s="2">
        <v>45886</v>
      </c>
      <c r="B1009">
        <v>3</v>
      </c>
      <c r="C1009">
        <v>8</v>
      </c>
      <c r="D1009" t="s">
        <v>1271</v>
      </c>
      <c r="E1009" t="s">
        <v>76</v>
      </c>
      <c r="F1009" t="s">
        <v>1021</v>
      </c>
      <c r="G1009">
        <v>3</v>
      </c>
      <c r="H1009">
        <v>2</v>
      </c>
      <c r="I1009">
        <v>9</v>
      </c>
      <c r="J1009" t="s">
        <v>1230</v>
      </c>
      <c r="L1009">
        <v>33</v>
      </c>
      <c r="M1009">
        <v>10</v>
      </c>
      <c r="N1009" t="s">
        <v>1107</v>
      </c>
      <c r="O1009">
        <v>78.5</v>
      </c>
      <c r="P1009">
        <v>7.81</v>
      </c>
      <c r="Q1009" t="s">
        <v>1110</v>
      </c>
    </row>
    <row r="1010" spans="1:17">
      <c r="A1010" s="2">
        <v>45886</v>
      </c>
      <c r="B1010">
        <v>3</v>
      </c>
      <c r="C1010">
        <v>9</v>
      </c>
      <c r="D1010" t="s">
        <v>20</v>
      </c>
      <c r="E1010" t="s">
        <v>77</v>
      </c>
      <c r="F1010" t="s">
        <v>1022</v>
      </c>
      <c r="G1010">
        <v>3</v>
      </c>
      <c r="H1010">
        <v>3</v>
      </c>
      <c r="I1010">
        <v>9</v>
      </c>
      <c r="J1010" t="s">
        <v>1230</v>
      </c>
      <c r="L1010">
        <v>33</v>
      </c>
      <c r="M1010">
        <v>8.6999999999999993</v>
      </c>
      <c r="N1010" t="s">
        <v>1107</v>
      </c>
      <c r="O1010">
        <v>69.2</v>
      </c>
      <c r="P1010">
        <v>7.56</v>
      </c>
      <c r="Q1010" t="s">
        <v>1112</v>
      </c>
    </row>
    <row r="1011" spans="1:17">
      <c r="A1011" s="2">
        <v>45886</v>
      </c>
      <c r="B1011">
        <v>3</v>
      </c>
      <c r="C1011">
        <v>10</v>
      </c>
      <c r="D1011" t="s">
        <v>1113</v>
      </c>
      <c r="E1011" t="s">
        <v>78</v>
      </c>
      <c r="F1011" t="s">
        <v>1023</v>
      </c>
      <c r="G1011">
        <v>4</v>
      </c>
      <c r="H1011">
        <v>5</v>
      </c>
      <c r="I1011">
        <v>8</v>
      </c>
      <c r="J1011" t="s">
        <v>1230</v>
      </c>
      <c r="L1011">
        <v>33</v>
      </c>
      <c r="M1011">
        <v>9.9</v>
      </c>
      <c r="N1011" t="s">
        <v>1107</v>
      </c>
      <c r="O1011">
        <v>60</v>
      </c>
      <c r="P1011">
        <v>5.19</v>
      </c>
      <c r="Q1011" t="s">
        <v>1110</v>
      </c>
    </row>
    <row r="1012" spans="1:17">
      <c r="A1012" s="2">
        <v>45886</v>
      </c>
      <c r="B1012">
        <v>3</v>
      </c>
      <c r="C1012">
        <v>11</v>
      </c>
      <c r="D1012" t="s">
        <v>1272</v>
      </c>
      <c r="E1012" t="s">
        <v>79</v>
      </c>
      <c r="F1012" t="s">
        <v>1024</v>
      </c>
      <c r="G1012">
        <v>4</v>
      </c>
      <c r="H1012">
        <v>1</v>
      </c>
      <c r="I1012">
        <v>11</v>
      </c>
      <c r="J1012" t="s">
        <v>1230</v>
      </c>
      <c r="L1012">
        <v>33</v>
      </c>
      <c r="N1012" t="s">
        <v>1107</v>
      </c>
      <c r="O1012">
        <v>84.5</v>
      </c>
      <c r="P1012">
        <v>5.96</v>
      </c>
      <c r="Q1012" t="s">
        <v>1110</v>
      </c>
    </row>
    <row r="1013" spans="1:17">
      <c r="A1013" s="2">
        <v>45886</v>
      </c>
      <c r="B1013">
        <v>3</v>
      </c>
      <c r="C1013">
        <v>12</v>
      </c>
      <c r="D1013" t="s">
        <v>21</v>
      </c>
      <c r="E1013" t="s">
        <v>80</v>
      </c>
      <c r="F1013" t="s">
        <v>1025</v>
      </c>
      <c r="G1013">
        <v>3</v>
      </c>
      <c r="H1013">
        <v>5</v>
      </c>
      <c r="I1013">
        <v>9</v>
      </c>
      <c r="J1013" t="s">
        <v>1230</v>
      </c>
      <c r="L1013">
        <v>33</v>
      </c>
      <c r="M1013">
        <v>10</v>
      </c>
      <c r="N1013" t="s">
        <v>1107</v>
      </c>
      <c r="O1013">
        <v>79.900000000000006</v>
      </c>
      <c r="P1013">
        <v>6.56</v>
      </c>
      <c r="Q1013" t="s">
        <v>1110</v>
      </c>
    </row>
    <row r="1014" spans="1:17">
      <c r="A1014" s="2">
        <v>45886</v>
      </c>
      <c r="B1014">
        <v>3</v>
      </c>
      <c r="C1014">
        <v>13</v>
      </c>
      <c r="D1014" t="s">
        <v>22</v>
      </c>
      <c r="E1014" t="s">
        <v>81</v>
      </c>
      <c r="F1014" t="s">
        <v>1026</v>
      </c>
      <c r="G1014">
        <v>2</v>
      </c>
      <c r="H1014">
        <v>2</v>
      </c>
      <c r="I1014">
        <v>9</v>
      </c>
      <c r="J1014" t="s">
        <v>1230</v>
      </c>
      <c r="L1014">
        <v>33</v>
      </c>
      <c r="M1014">
        <v>9.1</v>
      </c>
      <c r="N1014" t="s">
        <v>1107</v>
      </c>
      <c r="O1014">
        <v>69.900000000000006</v>
      </c>
      <c r="P1014">
        <v>6.61</v>
      </c>
      <c r="Q1014" t="s">
        <v>1110</v>
      </c>
    </row>
    <row r="1015" spans="1:17">
      <c r="A1015" s="2">
        <v>45886</v>
      </c>
      <c r="B1015">
        <v>3</v>
      </c>
      <c r="C1015">
        <v>14</v>
      </c>
      <c r="D1015" t="s">
        <v>23</v>
      </c>
      <c r="E1015" t="s">
        <v>82</v>
      </c>
      <c r="F1015" t="s">
        <v>1027</v>
      </c>
      <c r="G1015">
        <v>1</v>
      </c>
      <c r="H1015">
        <v>1</v>
      </c>
      <c r="I1015">
        <v>9</v>
      </c>
      <c r="J1015" t="s">
        <v>1230</v>
      </c>
      <c r="L1015">
        <v>33</v>
      </c>
      <c r="M1015">
        <v>10</v>
      </c>
      <c r="N1015" t="s">
        <v>1107</v>
      </c>
      <c r="O1015">
        <v>83.6</v>
      </c>
      <c r="P1015">
        <v>7.51</v>
      </c>
      <c r="Q1015" t="s">
        <v>1110</v>
      </c>
    </row>
    <row r="1016" spans="1:17">
      <c r="A1016" s="2">
        <v>45886</v>
      </c>
      <c r="B1016">
        <v>3</v>
      </c>
      <c r="C1016">
        <v>15</v>
      </c>
      <c r="D1016" t="s">
        <v>24</v>
      </c>
      <c r="E1016" t="s">
        <v>83</v>
      </c>
      <c r="F1016" t="s">
        <v>1028</v>
      </c>
      <c r="G1016">
        <v>6</v>
      </c>
      <c r="H1016">
        <v>2</v>
      </c>
      <c r="I1016">
        <v>13</v>
      </c>
      <c r="J1016" t="s">
        <v>1230</v>
      </c>
      <c r="L1016">
        <v>33</v>
      </c>
      <c r="M1016">
        <v>10</v>
      </c>
      <c r="N1016" t="s">
        <v>1107</v>
      </c>
      <c r="O1016">
        <v>75</v>
      </c>
      <c r="P1016">
        <v>5.44</v>
      </c>
      <c r="Q1016" t="s">
        <v>1110</v>
      </c>
    </row>
    <row r="1017" spans="1:17">
      <c r="A1017" s="2">
        <v>45886</v>
      </c>
      <c r="B1017">
        <v>3</v>
      </c>
      <c r="C1017">
        <v>16</v>
      </c>
      <c r="D1017" t="s">
        <v>1273</v>
      </c>
      <c r="E1017" t="s">
        <v>84</v>
      </c>
      <c r="F1017" t="s">
        <v>1029</v>
      </c>
      <c r="G1017">
        <v>5</v>
      </c>
      <c r="H1017">
        <v>0</v>
      </c>
      <c r="I1017">
        <v>18</v>
      </c>
      <c r="J1017" t="s">
        <v>1230</v>
      </c>
      <c r="L1017">
        <v>33</v>
      </c>
      <c r="N1017" t="s">
        <v>1107</v>
      </c>
      <c r="O1017">
        <v>77.599999999999994</v>
      </c>
      <c r="P1017">
        <v>6.8</v>
      </c>
      <c r="Q1017" t="s">
        <v>1110</v>
      </c>
    </row>
    <row r="1018" spans="1:17">
      <c r="A1018" s="2">
        <v>45886</v>
      </c>
      <c r="B1018">
        <v>3</v>
      </c>
      <c r="C1018">
        <v>17</v>
      </c>
      <c r="D1018" t="s">
        <v>25</v>
      </c>
      <c r="E1018" t="s">
        <v>85</v>
      </c>
      <c r="F1018" t="s">
        <v>1030</v>
      </c>
      <c r="G1018">
        <v>10</v>
      </c>
      <c r="H1018">
        <v>1</v>
      </c>
      <c r="I1018">
        <v>27</v>
      </c>
      <c r="J1018" t="s">
        <v>1230</v>
      </c>
      <c r="K1018" t="s">
        <v>1104</v>
      </c>
      <c r="L1018">
        <v>33</v>
      </c>
      <c r="M1018">
        <v>5.9</v>
      </c>
      <c r="N1018" t="s">
        <v>1106</v>
      </c>
      <c r="O1018">
        <v>63.1</v>
      </c>
      <c r="P1018">
        <v>7.99</v>
      </c>
      <c r="Q1018" t="s">
        <v>1110</v>
      </c>
    </row>
    <row r="1019" spans="1:17">
      <c r="A1019" s="2">
        <v>45886</v>
      </c>
      <c r="B1019">
        <v>3</v>
      </c>
      <c r="C1019">
        <v>18</v>
      </c>
      <c r="D1019" t="s">
        <v>26</v>
      </c>
      <c r="E1019" t="s">
        <v>86</v>
      </c>
      <c r="F1019" t="s">
        <v>659</v>
      </c>
      <c r="G1019">
        <v>3</v>
      </c>
      <c r="H1019">
        <v>4</v>
      </c>
      <c r="I1019">
        <v>26</v>
      </c>
      <c r="J1019" t="s">
        <v>1230</v>
      </c>
      <c r="K1019" t="s">
        <v>1104</v>
      </c>
      <c r="L1019">
        <v>33</v>
      </c>
      <c r="M1019">
        <v>6.2</v>
      </c>
      <c r="N1019" t="s">
        <v>1107</v>
      </c>
      <c r="O1019">
        <v>80.7</v>
      </c>
      <c r="P1019">
        <v>6.49</v>
      </c>
      <c r="Q1019" t="s">
        <v>1110</v>
      </c>
    </row>
    <row r="1020" spans="1:17">
      <c r="A1020" s="2">
        <v>45886</v>
      </c>
      <c r="B1020">
        <v>3</v>
      </c>
      <c r="C1020">
        <v>19</v>
      </c>
      <c r="D1020" t="s">
        <v>27</v>
      </c>
      <c r="E1020" t="s">
        <v>87</v>
      </c>
      <c r="F1020" t="s">
        <v>1031</v>
      </c>
      <c r="G1020">
        <v>4</v>
      </c>
      <c r="H1020">
        <v>1</v>
      </c>
      <c r="I1020">
        <v>29</v>
      </c>
      <c r="J1020" t="s">
        <v>1230</v>
      </c>
      <c r="K1020" t="s">
        <v>1104</v>
      </c>
      <c r="L1020">
        <v>33</v>
      </c>
      <c r="M1020">
        <v>5.9</v>
      </c>
      <c r="N1020" t="s">
        <v>1107</v>
      </c>
      <c r="O1020">
        <v>84.5</v>
      </c>
      <c r="P1020">
        <v>6</v>
      </c>
      <c r="Q1020" t="s">
        <v>1111</v>
      </c>
    </row>
    <row r="1021" spans="1:17">
      <c r="A1021" s="2">
        <v>45886</v>
      </c>
      <c r="B1021">
        <v>3</v>
      </c>
      <c r="C1021">
        <v>20</v>
      </c>
      <c r="D1021" t="s">
        <v>28</v>
      </c>
      <c r="E1021" t="s">
        <v>88</v>
      </c>
      <c r="F1021" t="s">
        <v>1032</v>
      </c>
      <c r="G1021">
        <v>5</v>
      </c>
      <c r="H1021">
        <v>3</v>
      </c>
      <c r="I1021">
        <v>31</v>
      </c>
      <c r="J1021" t="s">
        <v>1230</v>
      </c>
      <c r="K1021" t="s">
        <v>1104</v>
      </c>
      <c r="L1021">
        <v>33</v>
      </c>
      <c r="M1021">
        <v>6.3</v>
      </c>
      <c r="N1021" t="s">
        <v>1107</v>
      </c>
      <c r="O1021">
        <v>78.3</v>
      </c>
      <c r="P1021">
        <v>7.43</v>
      </c>
      <c r="Q1021" t="s">
        <v>1110</v>
      </c>
    </row>
    <row r="1022" spans="1:17">
      <c r="A1022" s="2">
        <v>45886</v>
      </c>
      <c r="B1022">
        <v>4</v>
      </c>
      <c r="C1022">
        <v>1</v>
      </c>
      <c r="D1022" t="s">
        <v>17</v>
      </c>
      <c r="E1022" t="s">
        <v>89</v>
      </c>
      <c r="F1022" t="s">
        <v>1033</v>
      </c>
      <c r="G1022">
        <v>0</v>
      </c>
      <c r="H1022">
        <v>0</v>
      </c>
      <c r="I1022">
        <v>0</v>
      </c>
      <c r="J1022" t="s">
        <v>1230</v>
      </c>
      <c r="L1022">
        <v>34</v>
      </c>
      <c r="N1022" t="s">
        <v>1107</v>
      </c>
      <c r="O1022">
        <v>81.599999999999994</v>
      </c>
      <c r="P1022">
        <v>5.54</v>
      </c>
      <c r="Q1022" t="s">
        <v>1110</v>
      </c>
    </row>
    <row r="1023" spans="1:17">
      <c r="A1023" s="2">
        <v>45886</v>
      </c>
      <c r="B1023">
        <v>4</v>
      </c>
      <c r="C1023">
        <v>2</v>
      </c>
      <c r="D1023" t="s">
        <v>1269</v>
      </c>
      <c r="E1023" t="s">
        <v>90</v>
      </c>
      <c r="F1023" t="s">
        <v>1034</v>
      </c>
      <c r="G1023">
        <v>7</v>
      </c>
      <c r="H1023">
        <v>0</v>
      </c>
      <c r="I1023">
        <v>7</v>
      </c>
      <c r="J1023" t="s">
        <v>1230</v>
      </c>
      <c r="L1023">
        <v>34</v>
      </c>
      <c r="N1023" t="s">
        <v>1107</v>
      </c>
      <c r="O1023">
        <v>84.6</v>
      </c>
      <c r="P1023">
        <v>6.98</v>
      </c>
      <c r="Q1023" t="s">
        <v>1111</v>
      </c>
    </row>
    <row r="1024" spans="1:17">
      <c r="A1024" s="2">
        <v>45886</v>
      </c>
      <c r="B1024">
        <v>4</v>
      </c>
      <c r="C1024">
        <v>3</v>
      </c>
      <c r="D1024" t="s">
        <v>18</v>
      </c>
      <c r="E1024" t="s">
        <v>91</v>
      </c>
      <c r="F1024" t="s">
        <v>1035</v>
      </c>
      <c r="G1024">
        <v>9</v>
      </c>
      <c r="H1024">
        <v>5</v>
      </c>
      <c r="I1024">
        <v>11</v>
      </c>
      <c r="J1024" t="s">
        <v>1230</v>
      </c>
      <c r="L1024">
        <v>34</v>
      </c>
      <c r="M1024">
        <v>9.6</v>
      </c>
      <c r="N1024" t="s">
        <v>1106</v>
      </c>
      <c r="O1024">
        <v>73.7</v>
      </c>
      <c r="P1024">
        <v>6.01</v>
      </c>
      <c r="Q1024" t="s">
        <v>1110</v>
      </c>
    </row>
    <row r="1025" spans="1:17">
      <c r="A1025" s="2">
        <v>45886</v>
      </c>
      <c r="B1025">
        <v>4</v>
      </c>
      <c r="C1025">
        <v>4</v>
      </c>
      <c r="D1025" t="s">
        <v>19</v>
      </c>
      <c r="E1025" t="s">
        <v>92</v>
      </c>
      <c r="F1025" t="s">
        <v>1036</v>
      </c>
      <c r="G1025">
        <v>9</v>
      </c>
      <c r="H1025">
        <v>2</v>
      </c>
      <c r="I1025">
        <v>18</v>
      </c>
      <c r="J1025" t="s">
        <v>1230</v>
      </c>
      <c r="L1025">
        <v>34</v>
      </c>
      <c r="M1025">
        <v>8.6999999999999993</v>
      </c>
      <c r="N1025" t="s">
        <v>1106</v>
      </c>
      <c r="O1025">
        <v>78.900000000000006</v>
      </c>
      <c r="P1025">
        <v>6.17</v>
      </c>
      <c r="Q1025" t="s">
        <v>1110</v>
      </c>
    </row>
    <row r="1026" spans="1:17">
      <c r="A1026" s="2">
        <v>45886</v>
      </c>
      <c r="B1026">
        <v>4</v>
      </c>
      <c r="C1026">
        <v>5</v>
      </c>
      <c r="D1026" t="s">
        <v>1115</v>
      </c>
      <c r="E1026" t="s">
        <v>93</v>
      </c>
      <c r="F1026" t="s">
        <v>1037</v>
      </c>
      <c r="G1026">
        <v>7</v>
      </c>
      <c r="H1026">
        <v>1</v>
      </c>
      <c r="I1026">
        <v>24</v>
      </c>
      <c r="J1026" t="s">
        <v>1230</v>
      </c>
      <c r="L1026">
        <v>34</v>
      </c>
      <c r="M1026">
        <v>8.1</v>
      </c>
      <c r="N1026" t="s">
        <v>1107</v>
      </c>
      <c r="O1026">
        <v>77.400000000000006</v>
      </c>
      <c r="P1026">
        <v>5.59</v>
      </c>
      <c r="Q1026" t="s">
        <v>1111</v>
      </c>
    </row>
    <row r="1027" spans="1:17">
      <c r="A1027" s="2">
        <v>45886</v>
      </c>
      <c r="B1027">
        <v>4</v>
      </c>
      <c r="C1027">
        <v>6</v>
      </c>
      <c r="D1027" t="s">
        <v>1270</v>
      </c>
      <c r="E1027" t="s">
        <v>94</v>
      </c>
      <c r="F1027" t="s">
        <v>1038</v>
      </c>
      <c r="G1027">
        <v>5</v>
      </c>
      <c r="H1027">
        <v>3</v>
      </c>
      <c r="I1027">
        <v>26</v>
      </c>
      <c r="J1027" t="s">
        <v>1230</v>
      </c>
      <c r="L1027">
        <v>34</v>
      </c>
      <c r="M1027">
        <v>9.3000000000000007</v>
      </c>
      <c r="N1027" t="s">
        <v>1107</v>
      </c>
      <c r="O1027">
        <v>63.3</v>
      </c>
      <c r="P1027">
        <v>7.26</v>
      </c>
      <c r="Q1027" t="s">
        <v>1110</v>
      </c>
    </row>
    <row r="1028" spans="1:17">
      <c r="A1028" s="2">
        <v>45886</v>
      </c>
      <c r="B1028">
        <v>4</v>
      </c>
      <c r="C1028">
        <v>7</v>
      </c>
      <c r="D1028" t="s">
        <v>1114</v>
      </c>
      <c r="E1028" t="s">
        <v>95</v>
      </c>
      <c r="F1028" t="s">
        <v>1039</v>
      </c>
      <c r="G1028">
        <v>10</v>
      </c>
      <c r="H1028">
        <v>5</v>
      </c>
      <c r="I1028">
        <v>31</v>
      </c>
      <c r="J1028" t="s">
        <v>1230</v>
      </c>
      <c r="L1028">
        <v>34</v>
      </c>
      <c r="M1028">
        <v>9.1</v>
      </c>
      <c r="N1028" t="s">
        <v>1107</v>
      </c>
      <c r="O1028">
        <v>81.2</v>
      </c>
      <c r="P1028">
        <v>7.13</v>
      </c>
      <c r="Q1028" t="s">
        <v>1110</v>
      </c>
    </row>
    <row r="1029" spans="1:17">
      <c r="A1029" s="2">
        <v>45886</v>
      </c>
      <c r="B1029">
        <v>4</v>
      </c>
      <c r="C1029">
        <v>8</v>
      </c>
      <c r="D1029" t="s">
        <v>1271</v>
      </c>
      <c r="E1029" t="s">
        <v>96</v>
      </c>
      <c r="F1029" t="s">
        <v>1040</v>
      </c>
      <c r="G1029">
        <v>3</v>
      </c>
      <c r="H1029">
        <v>4</v>
      </c>
      <c r="I1029">
        <v>30</v>
      </c>
      <c r="J1029" t="s">
        <v>1230</v>
      </c>
      <c r="L1029">
        <v>34</v>
      </c>
      <c r="M1029">
        <v>10</v>
      </c>
      <c r="N1029" t="s">
        <v>1107</v>
      </c>
      <c r="O1029">
        <v>63.4</v>
      </c>
      <c r="P1029">
        <v>7.09</v>
      </c>
      <c r="Q1029" t="s">
        <v>1110</v>
      </c>
    </row>
    <row r="1030" spans="1:17">
      <c r="A1030" s="2">
        <v>45886</v>
      </c>
      <c r="B1030">
        <v>4</v>
      </c>
      <c r="C1030">
        <v>9</v>
      </c>
      <c r="D1030" t="s">
        <v>20</v>
      </c>
      <c r="E1030" t="s">
        <v>97</v>
      </c>
      <c r="F1030" t="s">
        <v>1041</v>
      </c>
      <c r="G1030">
        <v>6</v>
      </c>
      <c r="H1030">
        <v>2</v>
      </c>
      <c r="I1030">
        <v>34</v>
      </c>
      <c r="J1030" t="s">
        <v>1230</v>
      </c>
      <c r="L1030">
        <v>34</v>
      </c>
      <c r="N1030" t="s">
        <v>1107</v>
      </c>
      <c r="O1030">
        <v>65.5</v>
      </c>
      <c r="P1030">
        <v>7.25</v>
      </c>
      <c r="Q1030" t="s">
        <v>1110</v>
      </c>
    </row>
    <row r="1031" spans="1:17">
      <c r="A1031" s="2">
        <v>45886</v>
      </c>
      <c r="B1031">
        <v>4</v>
      </c>
      <c r="C1031">
        <v>10</v>
      </c>
      <c r="D1031" t="s">
        <v>1113</v>
      </c>
      <c r="E1031" t="s">
        <v>98</v>
      </c>
      <c r="F1031" t="s">
        <v>1042</v>
      </c>
      <c r="G1031">
        <v>3</v>
      </c>
      <c r="H1031">
        <v>4</v>
      </c>
      <c r="I1031">
        <v>33</v>
      </c>
      <c r="J1031" t="s">
        <v>1230</v>
      </c>
      <c r="L1031">
        <v>34</v>
      </c>
      <c r="M1031">
        <v>9.3000000000000007</v>
      </c>
      <c r="N1031" t="s">
        <v>1107</v>
      </c>
      <c r="O1031">
        <v>78.099999999999994</v>
      </c>
      <c r="P1031">
        <v>6.73</v>
      </c>
      <c r="Q1031" t="s">
        <v>1110</v>
      </c>
    </row>
    <row r="1032" spans="1:17">
      <c r="A1032" s="2">
        <v>45886</v>
      </c>
      <c r="B1032">
        <v>4</v>
      </c>
      <c r="C1032">
        <v>11</v>
      </c>
      <c r="D1032" t="s">
        <v>1272</v>
      </c>
      <c r="E1032" t="s">
        <v>99</v>
      </c>
      <c r="F1032" t="s">
        <v>99</v>
      </c>
      <c r="G1032">
        <v>1</v>
      </c>
      <c r="H1032">
        <v>4</v>
      </c>
      <c r="I1032">
        <v>30</v>
      </c>
      <c r="J1032" t="s">
        <v>1230</v>
      </c>
      <c r="L1032">
        <v>34</v>
      </c>
      <c r="M1032">
        <v>10</v>
      </c>
      <c r="N1032" t="s">
        <v>1106</v>
      </c>
      <c r="O1032">
        <v>63.7</v>
      </c>
      <c r="P1032">
        <v>7.85</v>
      </c>
      <c r="Q1032" t="s">
        <v>1110</v>
      </c>
    </row>
    <row r="1033" spans="1:17">
      <c r="A1033" s="2">
        <v>45886</v>
      </c>
      <c r="B1033">
        <v>4</v>
      </c>
      <c r="C1033">
        <v>12</v>
      </c>
      <c r="D1033" t="s">
        <v>21</v>
      </c>
      <c r="E1033" t="s">
        <v>100</v>
      </c>
      <c r="F1033" t="s">
        <v>1043</v>
      </c>
      <c r="G1033">
        <v>0</v>
      </c>
      <c r="H1033">
        <v>4</v>
      </c>
      <c r="I1033">
        <v>26</v>
      </c>
      <c r="J1033" t="s">
        <v>1230</v>
      </c>
      <c r="L1033">
        <v>34</v>
      </c>
      <c r="M1033">
        <v>9.9</v>
      </c>
      <c r="N1033" t="s">
        <v>1107</v>
      </c>
      <c r="O1033">
        <v>83.1</v>
      </c>
      <c r="P1033">
        <v>5.29</v>
      </c>
      <c r="Q1033" t="s">
        <v>1112</v>
      </c>
    </row>
    <row r="1034" spans="1:17">
      <c r="A1034" s="2">
        <v>45886</v>
      </c>
      <c r="B1034">
        <v>4</v>
      </c>
      <c r="C1034">
        <v>13</v>
      </c>
      <c r="D1034" t="s">
        <v>22</v>
      </c>
      <c r="E1034" t="s">
        <v>101</v>
      </c>
      <c r="F1034" t="s">
        <v>1044</v>
      </c>
      <c r="G1034">
        <v>5</v>
      </c>
      <c r="H1034">
        <v>3</v>
      </c>
      <c r="I1034">
        <v>28</v>
      </c>
      <c r="J1034" t="s">
        <v>1230</v>
      </c>
      <c r="L1034">
        <v>34</v>
      </c>
      <c r="M1034">
        <v>10</v>
      </c>
      <c r="N1034" t="s">
        <v>1107</v>
      </c>
      <c r="O1034">
        <v>61.3</v>
      </c>
      <c r="P1034">
        <v>7.94</v>
      </c>
      <c r="Q1034" t="s">
        <v>1110</v>
      </c>
    </row>
    <row r="1035" spans="1:17">
      <c r="A1035" s="2">
        <v>45886</v>
      </c>
      <c r="B1035">
        <v>4</v>
      </c>
      <c r="C1035">
        <v>14</v>
      </c>
      <c r="D1035" t="s">
        <v>23</v>
      </c>
      <c r="E1035" t="s">
        <v>102</v>
      </c>
      <c r="F1035" t="s">
        <v>1045</v>
      </c>
      <c r="G1035">
        <v>5</v>
      </c>
      <c r="H1035">
        <v>2</v>
      </c>
      <c r="I1035">
        <v>31</v>
      </c>
      <c r="J1035" t="s">
        <v>1230</v>
      </c>
      <c r="L1035">
        <v>34</v>
      </c>
      <c r="N1035" t="s">
        <v>1107</v>
      </c>
      <c r="O1035">
        <v>84.2</v>
      </c>
      <c r="P1035">
        <v>6.88</v>
      </c>
      <c r="Q1035" t="s">
        <v>1110</v>
      </c>
    </row>
    <row r="1036" spans="1:17">
      <c r="A1036" s="2">
        <v>45886</v>
      </c>
      <c r="B1036">
        <v>4</v>
      </c>
      <c r="C1036">
        <v>15</v>
      </c>
      <c r="D1036" t="s">
        <v>24</v>
      </c>
      <c r="E1036" t="s">
        <v>103</v>
      </c>
      <c r="F1036" t="s">
        <v>1046</v>
      </c>
      <c r="G1036">
        <v>5</v>
      </c>
      <c r="H1036">
        <v>3</v>
      </c>
      <c r="I1036">
        <v>33</v>
      </c>
      <c r="J1036" t="s">
        <v>1230</v>
      </c>
      <c r="L1036">
        <v>34</v>
      </c>
      <c r="M1036">
        <v>9.5</v>
      </c>
      <c r="N1036" t="s">
        <v>1107</v>
      </c>
      <c r="O1036">
        <v>66</v>
      </c>
      <c r="P1036">
        <v>6.47</v>
      </c>
      <c r="Q1036" t="s">
        <v>1110</v>
      </c>
    </row>
    <row r="1037" spans="1:17">
      <c r="A1037" s="2">
        <v>45886</v>
      </c>
      <c r="B1037">
        <v>4</v>
      </c>
      <c r="C1037">
        <v>16</v>
      </c>
      <c r="D1037" t="s">
        <v>1273</v>
      </c>
      <c r="E1037" t="s">
        <v>104</v>
      </c>
      <c r="F1037" t="s">
        <v>104</v>
      </c>
      <c r="G1037">
        <v>2</v>
      </c>
      <c r="H1037">
        <v>5</v>
      </c>
      <c r="I1037">
        <v>30</v>
      </c>
      <c r="J1037" t="s">
        <v>1230</v>
      </c>
      <c r="L1037">
        <v>34</v>
      </c>
      <c r="M1037">
        <v>10</v>
      </c>
      <c r="N1037" t="s">
        <v>1109</v>
      </c>
      <c r="O1037">
        <v>76.3</v>
      </c>
      <c r="P1037">
        <v>6.13</v>
      </c>
      <c r="Q1037" t="s">
        <v>1110</v>
      </c>
    </row>
    <row r="1038" spans="1:17">
      <c r="A1038" s="2">
        <v>45886</v>
      </c>
      <c r="B1038">
        <v>4</v>
      </c>
      <c r="C1038">
        <v>17</v>
      </c>
      <c r="D1038" t="s">
        <v>25</v>
      </c>
      <c r="E1038" t="s">
        <v>105</v>
      </c>
      <c r="F1038" t="s">
        <v>1047</v>
      </c>
      <c r="G1038">
        <v>1</v>
      </c>
      <c r="H1038">
        <v>5</v>
      </c>
      <c r="I1038">
        <v>26</v>
      </c>
      <c r="J1038" t="s">
        <v>1230</v>
      </c>
      <c r="K1038" t="s">
        <v>1104</v>
      </c>
      <c r="L1038">
        <v>34</v>
      </c>
      <c r="M1038">
        <v>5.2</v>
      </c>
      <c r="N1038" t="s">
        <v>1107</v>
      </c>
      <c r="O1038">
        <v>76.5</v>
      </c>
      <c r="P1038">
        <v>7.33</v>
      </c>
      <c r="Q1038" t="s">
        <v>1111</v>
      </c>
    </row>
    <row r="1039" spans="1:17">
      <c r="A1039" s="2">
        <v>45886</v>
      </c>
      <c r="B1039">
        <v>4</v>
      </c>
      <c r="C1039">
        <v>18</v>
      </c>
      <c r="D1039" t="s">
        <v>26</v>
      </c>
      <c r="E1039" t="s">
        <v>106</v>
      </c>
      <c r="F1039" t="s">
        <v>1048</v>
      </c>
      <c r="G1039">
        <v>0</v>
      </c>
      <c r="H1039">
        <v>3</v>
      </c>
      <c r="I1039">
        <v>23</v>
      </c>
      <c r="J1039" t="s">
        <v>1230</v>
      </c>
      <c r="K1039" t="s">
        <v>1104</v>
      </c>
      <c r="L1039">
        <v>34</v>
      </c>
      <c r="M1039">
        <v>4.8</v>
      </c>
      <c r="N1039" t="s">
        <v>1107</v>
      </c>
      <c r="O1039">
        <v>66.900000000000006</v>
      </c>
      <c r="P1039">
        <v>6.96</v>
      </c>
      <c r="Q1039" t="s">
        <v>1110</v>
      </c>
    </row>
    <row r="1040" spans="1:17">
      <c r="A1040" s="2">
        <v>45886</v>
      </c>
      <c r="B1040">
        <v>4</v>
      </c>
      <c r="C1040">
        <v>19</v>
      </c>
      <c r="D1040" t="s">
        <v>27</v>
      </c>
      <c r="E1040" t="s">
        <v>107</v>
      </c>
      <c r="F1040" t="s">
        <v>1049</v>
      </c>
      <c r="G1040">
        <v>3</v>
      </c>
      <c r="H1040">
        <v>4</v>
      </c>
      <c r="I1040">
        <v>22</v>
      </c>
      <c r="J1040" t="s">
        <v>1230</v>
      </c>
      <c r="K1040" t="s">
        <v>1104</v>
      </c>
      <c r="L1040">
        <v>34</v>
      </c>
      <c r="M1040">
        <v>5.2</v>
      </c>
      <c r="N1040" t="s">
        <v>1107</v>
      </c>
      <c r="O1040">
        <v>62.1</v>
      </c>
      <c r="P1040">
        <v>6.47</v>
      </c>
      <c r="Q1040" t="s">
        <v>1110</v>
      </c>
    </row>
    <row r="1041" spans="1:17">
      <c r="A1041" s="2">
        <v>45886</v>
      </c>
      <c r="B1041">
        <v>4</v>
      </c>
      <c r="C1041">
        <v>20</v>
      </c>
      <c r="D1041" t="s">
        <v>28</v>
      </c>
      <c r="E1041" t="s">
        <v>108</v>
      </c>
      <c r="F1041" t="s">
        <v>1050</v>
      </c>
      <c r="G1041">
        <v>4</v>
      </c>
      <c r="H1041">
        <v>4</v>
      </c>
      <c r="I1041">
        <v>22</v>
      </c>
      <c r="J1041" t="s">
        <v>1230</v>
      </c>
      <c r="K1041" t="s">
        <v>1104</v>
      </c>
      <c r="L1041">
        <v>34</v>
      </c>
      <c r="M1041">
        <v>5.0999999999999996</v>
      </c>
      <c r="N1041" t="s">
        <v>1107</v>
      </c>
      <c r="O1041">
        <v>60.6</v>
      </c>
      <c r="P1041">
        <v>6.72</v>
      </c>
      <c r="Q1041" t="s">
        <v>1110</v>
      </c>
    </row>
    <row r="1042" spans="1:17">
      <c r="A1042" s="2">
        <v>45886</v>
      </c>
      <c r="B1042">
        <v>5</v>
      </c>
      <c r="C1042">
        <v>1</v>
      </c>
      <c r="D1042" t="s">
        <v>17</v>
      </c>
      <c r="E1042" t="s">
        <v>109</v>
      </c>
      <c r="F1042" t="s">
        <v>1051</v>
      </c>
      <c r="G1042">
        <v>0</v>
      </c>
      <c r="H1042">
        <v>0</v>
      </c>
      <c r="I1042">
        <v>0</v>
      </c>
      <c r="J1042" t="s">
        <v>1230</v>
      </c>
      <c r="L1042">
        <v>35</v>
      </c>
      <c r="N1042" t="s">
        <v>1107</v>
      </c>
      <c r="O1042">
        <v>78.599999999999994</v>
      </c>
      <c r="P1042">
        <v>7.38</v>
      </c>
      <c r="Q1042" t="s">
        <v>1110</v>
      </c>
    </row>
    <row r="1043" spans="1:17">
      <c r="A1043" s="2">
        <v>45886</v>
      </c>
      <c r="B1043">
        <v>5</v>
      </c>
      <c r="C1043">
        <v>2</v>
      </c>
      <c r="D1043" t="s">
        <v>1269</v>
      </c>
      <c r="E1043" t="s">
        <v>110</v>
      </c>
      <c r="F1043" t="s">
        <v>1052</v>
      </c>
      <c r="G1043">
        <v>4</v>
      </c>
      <c r="H1043">
        <v>0</v>
      </c>
      <c r="I1043">
        <v>4</v>
      </c>
      <c r="J1043" t="s">
        <v>1230</v>
      </c>
      <c r="L1043">
        <v>35</v>
      </c>
      <c r="N1043" t="s">
        <v>1107</v>
      </c>
      <c r="O1043">
        <v>76.099999999999994</v>
      </c>
      <c r="P1043">
        <v>6.3</v>
      </c>
      <c r="Q1043" t="s">
        <v>1110</v>
      </c>
    </row>
    <row r="1044" spans="1:17">
      <c r="A1044" s="2">
        <v>45886</v>
      </c>
      <c r="B1044">
        <v>5</v>
      </c>
      <c r="C1044">
        <v>3</v>
      </c>
      <c r="D1044" t="s">
        <v>18</v>
      </c>
      <c r="E1044" t="s">
        <v>111</v>
      </c>
      <c r="F1044" t="s">
        <v>1053</v>
      </c>
      <c r="G1044">
        <v>5</v>
      </c>
      <c r="H1044">
        <v>2</v>
      </c>
      <c r="I1044">
        <v>7</v>
      </c>
      <c r="J1044" t="s">
        <v>1230</v>
      </c>
      <c r="L1044">
        <v>35</v>
      </c>
      <c r="M1044">
        <v>6.2</v>
      </c>
      <c r="N1044" t="s">
        <v>1107</v>
      </c>
      <c r="O1044">
        <v>61.6</v>
      </c>
      <c r="P1044">
        <v>7.73</v>
      </c>
      <c r="Q1044" t="s">
        <v>1110</v>
      </c>
    </row>
    <row r="1045" spans="1:17">
      <c r="A1045" s="2">
        <v>45886</v>
      </c>
      <c r="B1045">
        <v>5</v>
      </c>
      <c r="C1045">
        <v>4</v>
      </c>
      <c r="D1045" t="s">
        <v>19</v>
      </c>
      <c r="E1045" t="s">
        <v>112</v>
      </c>
      <c r="F1045" t="s">
        <v>1054</v>
      </c>
      <c r="G1045">
        <v>4</v>
      </c>
      <c r="H1045">
        <v>4</v>
      </c>
      <c r="I1045">
        <v>7</v>
      </c>
      <c r="J1045" t="s">
        <v>1230</v>
      </c>
      <c r="L1045">
        <v>35</v>
      </c>
      <c r="M1045">
        <v>6.3</v>
      </c>
      <c r="N1045" t="s">
        <v>1107</v>
      </c>
      <c r="O1045">
        <v>80.3</v>
      </c>
      <c r="P1045">
        <v>5.0599999999999996</v>
      </c>
      <c r="Q1045" t="s">
        <v>1110</v>
      </c>
    </row>
    <row r="1046" spans="1:17">
      <c r="A1046" s="2">
        <v>45886</v>
      </c>
      <c r="B1046">
        <v>5</v>
      </c>
      <c r="C1046">
        <v>5</v>
      </c>
      <c r="D1046" t="s">
        <v>1115</v>
      </c>
      <c r="E1046" t="s">
        <v>113</v>
      </c>
      <c r="F1046" t="s">
        <v>1055</v>
      </c>
      <c r="G1046">
        <v>0</v>
      </c>
      <c r="H1046">
        <v>0</v>
      </c>
      <c r="I1046">
        <v>7</v>
      </c>
      <c r="J1046" t="s">
        <v>1230</v>
      </c>
      <c r="L1046">
        <v>35</v>
      </c>
      <c r="N1046" t="s">
        <v>1107</v>
      </c>
      <c r="O1046">
        <v>80.3</v>
      </c>
      <c r="P1046">
        <v>6.47</v>
      </c>
      <c r="Q1046" t="s">
        <v>1110</v>
      </c>
    </row>
    <row r="1047" spans="1:17">
      <c r="A1047" s="2">
        <v>45886</v>
      </c>
      <c r="B1047">
        <v>5</v>
      </c>
      <c r="C1047">
        <v>6</v>
      </c>
      <c r="D1047" t="s">
        <v>1270</v>
      </c>
      <c r="E1047" t="s">
        <v>114</v>
      </c>
      <c r="F1047" t="s">
        <v>1056</v>
      </c>
      <c r="G1047">
        <v>5</v>
      </c>
      <c r="H1047">
        <v>5</v>
      </c>
      <c r="I1047">
        <v>7</v>
      </c>
      <c r="J1047" t="s">
        <v>1230</v>
      </c>
      <c r="L1047">
        <v>35</v>
      </c>
      <c r="M1047">
        <v>6.7</v>
      </c>
      <c r="N1047" t="s">
        <v>1107</v>
      </c>
      <c r="O1047">
        <v>77.8</v>
      </c>
      <c r="P1047">
        <v>7.37</v>
      </c>
      <c r="Q1047" t="s">
        <v>1110</v>
      </c>
    </row>
    <row r="1048" spans="1:17">
      <c r="A1048" s="2">
        <v>45886</v>
      </c>
      <c r="B1048">
        <v>5</v>
      </c>
      <c r="C1048">
        <v>7</v>
      </c>
      <c r="D1048" t="s">
        <v>1114</v>
      </c>
      <c r="E1048" t="s">
        <v>115</v>
      </c>
      <c r="F1048" t="s">
        <v>1057</v>
      </c>
      <c r="G1048">
        <v>4</v>
      </c>
      <c r="H1048">
        <v>5</v>
      </c>
      <c r="I1048">
        <v>6</v>
      </c>
      <c r="J1048" t="s">
        <v>1230</v>
      </c>
      <c r="L1048">
        <v>35</v>
      </c>
      <c r="M1048">
        <v>7.3</v>
      </c>
      <c r="N1048" t="s">
        <v>1107</v>
      </c>
      <c r="O1048">
        <v>84.1</v>
      </c>
      <c r="P1048">
        <v>7.69</v>
      </c>
      <c r="Q1048" t="s">
        <v>1110</v>
      </c>
    </row>
    <row r="1049" spans="1:17">
      <c r="A1049" s="2">
        <v>45886</v>
      </c>
      <c r="B1049">
        <v>5</v>
      </c>
      <c r="C1049">
        <v>8</v>
      </c>
      <c r="D1049" t="s">
        <v>1271</v>
      </c>
      <c r="E1049" t="s">
        <v>116</v>
      </c>
      <c r="F1049" t="s">
        <v>116</v>
      </c>
      <c r="G1049">
        <v>5</v>
      </c>
      <c r="H1049">
        <v>5</v>
      </c>
      <c r="I1049">
        <v>6</v>
      </c>
      <c r="J1049" t="s">
        <v>1230</v>
      </c>
      <c r="L1049">
        <v>35</v>
      </c>
      <c r="M1049">
        <v>8.1</v>
      </c>
      <c r="N1049" t="s">
        <v>1107</v>
      </c>
      <c r="O1049">
        <v>64.5</v>
      </c>
      <c r="P1049">
        <v>6.66</v>
      </c>
      <c r="Q1049" t="s">
        <v>1111</v>
      </c>
    </row>
    <row r="1050" spans="1:17">
      <c r="A1050" s="2">
        <v>45886</v>
      </c>
      <c r="B1050">
        <v>5</v>
      </c>
      <c r="C1050">
        <v>9</v>
      </c>
      <c r="D1050" t="s">
        <v>20</v>
      </c>
      <c r="E1050" t="s">
        <v>117</v>
      </c>
      <c r="F1050" t="s">
        <v>549</v>
      </c>
      <c r="G1050">
        <v>3</v>
      </c>
      <c r="H1050">
        <v>2</v>
      </c>
      <c r="I1050">
        <v>7</v>
      </c>
      <c r="J1050" t="s">
        <v>1230</v>
      </c>
      <c r="L1050">
        <v>35</v>
      </c>
      <c r="M1050">
        <v>7.9</v>
      </c>
      <c r="N1050" t="s">
        <v>1107</v>
      </c>
      <c r="O1050">
        <v>63.2</v>
      </c>
      <c r="P1050">
        <v>5.62</v>
      </c>
      <c r="Q1050" t="s">
        <v>1110</v>
      </c>
    </row>
    <row r="1051" spans="1:17">
      <c r="A1051" s="2">
        <v>45886</v>
      </c>
      <c r="B1051">
        <v>5</v>
      </c>
      <c r="C1051">
        <v>10</v>
      </c>
      <c r="D1051" t="s">
        <v>1113</v>
      </c>
      <c r="E1051" t="s">
        <v>118</v>
      </c>
      <c r="F1051" t="s">
        <v>1058</v>
      </c>
      <c r="G1051">
        <v>2</v>
      </c>
      <c r="H1051">
        <v>0</v>
      </c>
      <c r="I1051">
        <v>9</v>
      </c>
      <c r="J1051" t="s">
        <v>1230</v>
      </c>
      <c r="L1051">
        <v>35</v>
      </c>
      <c r="N1051" t="s">
        <v>1107</v>
      </c>
      <c r="O1051">
        <v>81.3</v>
      </c>
      <c r="P1051">
        <v>5.1100000000000003</v>
      </c>
      <c r="Q1051" t="s">
        <v>1112</v>
      </c>
    </row>
    <row r="1052" spans="1:17">
      <c r="A1052" s="2">
        <v>45886</v>
      </c>
      <c r="B1052">
        <v>5</v>
      </c>
      <c r="C1052">
        <v>11</v>
      </c>
      <c r="D1052" t="s">
        <v>1272</v>
      </c>
      <c r="E1052" t="s">
        <v>119</v>
      </c>
      <c r="F1052" t="s">
        <v>1059</v>
      </c>
      <c r="G1052">
        <v>4</v>
      </c>
      <c r="H1052">
        <v>5</v>
      </c>
      <c r="I1052">
        <v>8</v>
      </c>
      <c r="J1052" t="s">
        <v>1230</v>
      </c>
      <c r="L1052">
        <v>35</v>
      </c>
      <c r="M1052">
        <v>7.8</v>
      </c>
      <c r="N1052" t="s">
        <v>1107</v>
      </c>
      <c r="O1052">
        <v>69.099999999999994</v>
      </c>
      <c r="P1052">
        <v>6.63</v>
      </c>
      <c r="Q1052" t="s">
        <v>1110</v>
      </c>
    </row>
    <row r="1053" spans="1:17">
      <c r="A1053" s="2">
        <v>45886</v>
      </c>
      <c r="B1053">
        <v>5</v>
      </c>
      <c r="C1053">
        <v>12</v>
      </c>
      <c r="D1053" t="s">
        <v>21</v>
      </c>
      <c r="E1053" t="s">
        <v>120</v>
      </c>
      <c r="F1053" t="s">
        <v>1060</v>
      </c>
      <c r="G1053">
        <v>4</v>
      </c>
      <c r="H1053">
        <v>5</v>
      </c>
      <c r="I1053">
        <v>7</v>
      </c>
      <c r="J1053" t="s">
        <v>1230</v>
      </c>
      <c r="L1053">
        <v>35</v>
      </c>
      <c r="M1053">
        <v>8</v>
      </c>
      <c r="N1053" t="s">
        <v>1108</v>
      </c>
      <c r="O1053">
        <v>60</v>
      </c>
      <c r="P1053">
        <v>5.9</v>
      </c>
      <c r="Q1053" t="s">
        <v>1111</v>
      </c>
    </row>
    <row r="1054" spans="1:17">
      <c r="A1054" s="2">
        <v>45886</v>
      </c>
      <c r="B1054">
        <v>5</v>
      </c>
      <c r="C1054">
        <v>13</v>
      </c>
      <c r="D1054" t="s">
        <v>22</v>
      </c>
      <c r="E1054" t="s">
        <v>121</v>
      </c>
      <c r="F1054" t="s">
        <v>1061</v>
      </c>
      <c r="G1054">
        <v>3</v>
      </c>
      <c r="H1054">
        <v>2</v>
      </c>
      <c r="I1054">
        <v>8</v>
      </c>
      <c r="J1054" t="s">
        <v>1230</v>
      </c>
      <c r="L1054">
        <v>35</v>
      </c>
      <c r="M1054">
        <v>7.7</v>
      </c>
      <c r="N1054" t="s">
        <v>1107</v>
      </c>
      <c r="O1054">
        <v>79.599999999999994</v>
      </c>
      <c r="P1054">
        <v>6.98</v>
      </c>
      <c r="Q1054" t="s">
        <v>1110</v>
      </c>
    </row>
    <row r="1055" spans="1:17">
      <c r="A1055" s="2">
        <v>45886</v>
      </c>
      <c r="B1055">
        <v>5</v>
      </c>
      <c r="C1055">
        <v>14</v>
      </c>
      <c r="D1055" t="s">
        <v>23</v>
      </c>
      <c r="E1055" t="s">
        <v>122</v>
      </c>
      <c r="F1055" t="s">
        <v>1062</v>
      </c>
      <c r="G1055">
        <v>4</v>
      </c>
      <c r="H1055">
        <v>5</v>
      </c>
      <c r="I1055">
        <v>7</v>
      </c>
      <c r="J1055" t="s">
        <v>1230</v>
      </c>
      <c r="L1055">
        <v>35</v>
      </c>
      <c r="N1055" t="s">
        <v>1107</v>
      </c>
      <c r="O1055">
        <v>77.400000000000006</v>
      </c>
      <c r="P1055">
        <v>6.57</v>
      </c>
      <c r="Q1055" t="s">
        <v>1112</v>
      </c>
    </row>
    <row r="1056" spans="1:17">
      <c r="A1056" s="2">
        <v>45886</v>
      </c>
      <c r="B1056">
        <v>5</v>
      </c>
      <c r="C1056">
        <v>15</v>
      </c>
      <c r="D1056" t="s">
        <v>24</v>
      </c>
      <c r="E1056" t="s">
        <v>123</v>
      </c>
      <c r="F1056" t="s">
        <v>1063</v>
      </c>
      <c r="G1056">
        <v>2</v>
      </c>
      <c r="H1056">
        <v>1</v>
      </c>
      <c r="I1056">
        <v>8</v>
      </c>
      <c r="J1056" t="s">
        <v>1230</v>
      </c>
      <c r="L1056">
        <v>35</v>
      </c>
      <c r="M1056">
        <v>7.7</v>
      </c>
      <c r="N1056" t="s">
        <v>1107</v>
      </c>
      <c r="O1056">
        <v>73.5</v>
      </c>
      <c r="P1056">
        <v>5.63</v>
      </c>
      <c r="Q1056" t="s">
        <v>1110</v>
      </c>
    </row>
    <row r="1057" spans="1:17">
      <c r="A1057" s="2">
        <v>45886</v>
      </c>
      <c r="B1057">
        <v>5</v>
      </c>
      <c r="C1057">
        <v>16</v>
      </c>
      <c r="D1057" t="s">
        <v>1273</v>
      </c>
      <c r="E1057" t="s">
        <v>124</v>
      </c>
      <c r="F1057" t="s">
        <v>1064</v>
      </c>
      <c r="G1057">
        <v>0</v>
      </c>
      <c r="H1057">
        <v>3</v>
      </c>
      <c r="I1057">
        <v>5</v>
      </c>
      <c r="J1057" t="s">
        <v>1230</v>
      </c>
      <c r="L1057">
        <v>35</v>
      </c>
      <c r="M1057">
        <v>6.8</v>
      </c>
      <c r="N1057" t="s">
        <v>1107</v>
      </c>
      <c r="O1057">
        <v>65.900000000000006</v>
      </c>
      <c r="P1057">
        <v>5.56</v>
      </c>
      <c r="Q1057" t="s">
        <v>1110</v>
      </c>
    </row>
    <row r="1058" spans="1:17">
      <c r="A1058" s="2">
        <v>45886</v>
      </c>
      <c r="B1058">
        <v>5</v>
      </c>
      <c r="C1058">
        <v>17</v>
      </c>
      <c r="D1058" t="s">
        <v>25</v>
      </c>
      <c r="E1058" t="s">
        <v>125</v>
      </c>
      <c r="F1058" t="s">
        <v>1065</v>
      </c>
      <c r="G1058">
        <v>0</v>
      </c>
      <c r="H1058">
        <v>0</v>
      </c>
      <c r="I1058">
        <v>5</v>
      </c>
      <c r="J1058" t="s">
        <v>1230</v>
      </c>
      <c r="K1058" t="s">
        <v>1104</v>
      </c>
      <c r="L1058">
        <v>35</v>
      </c>
      <c r="N1058" t="s">
        <v>1107</v>
      </c>
      <c r="O1058">
        <v>83.9</v>
      </c>
      <c r="P1058">
        <v>6.81</v>
      </c>
      <c r="Q1058" t="s">
        <v>1110</v>
      </c>
    </row>
    <row r="1059" spans="1:17">
      <c r="A1059" s="2">
        <v>45886</v>
      </c>
      <c r="B1059">
        <v>5</v>
      </c>
      <c r="C1059">
        <v>18</v>
      </c>
      <c r="D1059" t="s">
        <v>26</v>
      </c>
      <c r="E1059" t="s">
        <v>126</v>
      </c>
      <c r="F1059" t="s">
        <v>1066</v>
      </c>
      <c r="G1059">
        <v>1</v>
      </c>
      <c r="H1059">
        <v>5</v>
      </c>
      <c r="I1059">
        <v>1</v>
      </c>
      <c r="J1059" t="s">
        <v>1230</v>
      </c>
      <c r="K1059" t="s">
        <v>1104</v>
      </c>
      <c r="L1059">
        <v>35</v>
      </c>
      <c r="M1059">
        <v>4.0999999999999996</v>
      </c>
      <c r="N1059" t="s">
        <v>1107</v>
      </c>
      <c r="O1059">
        <v>63.2</v>
      </c>
      <c r="P1059">
        <v>6.87</v>
      </c>
      <c r="Q1059" t="s">
        <v>1110</v>
      </c>
    </row>
    <row r="1060" spans="1:17">
      <c r="A1060" s="2">
        <v>45886</v>
      </c>
      <c r="B1060">
        <v>5</v>
      </c>
      <c r="C1060">
        <v>19</v>
      </c>
      <c r="D1060" t="s">
        <v>27</v>
      </c>
      <c r="E1060" t="s">
        <v>127</v>
      </c>
      <c r="F1060" t="s">
        <v>1067</v>
      </c>
      <c r="G1060">
        <v>3</v>
      </c>
      <c r="H1060">
        <v>1</v>
      </c>
      <c r="I1060">
        <v>3</v>
      </c>
      <c r="J1060" t="s">
        <v>1230</v>
      </c>
      <c r="K1060" t="s">
        <v>1104</v>
      </c>
      <c r="L1060">
        <v>35</v>
      </c>
      <c r="M1060">
        <v>3.8</v>
      </c>
      <c r="N1060" t="s">
        <v>1107</v>
      </c>
      <c r="O1060">
        <v>69.5</v>
      </c>
      <c r="P1060">
        <v>7.71</v>
      </c>
      <c r="Q1060" t="s">
        <v>1110</v>
      </c>
    </row>
    <row r="1061" spans="1:17">
      <c r="A1061" s="2">
        <v>45886</v>
      </c>
      <c r="B1061">
        <v>5</v>
      </c>
      <c r="C1061">
        <v>20</v>
      </c>
      <c r="D1061" t="s">
        <v>28</v>
      </c>
      <c r="E1061" t="s">
        <v>128</v>
      </c>
      <c r="F1061" t="s">
        <v>1068</v>
      </c>
      <c r="G1061">
        <v>2</v>
      </c>
      <c r="H1061">
        <v>3</v>
      </c>
      <c r="I1061">
        <v>2</v>
      </c>
      <c r="J1061" t="s">
        <v>1230</v>
      </c>
      <c r="K1061" t="s">
        <v>1104</v>
      </c>
      <c r="L1061">
        <v>35</v>
      </c>
      <c r="M1061">
        <v>4.0999999999999996</v>
      </c>
      <c r="N1061" t="s">
        <v>1107</v>
      </c>
      <c r="O1061">
        <v>66.400000000000006</v>
      </c>
      <c r="P1061">
        <v>6.28</v>
      </c>
      <c r="Q1061" t="s">
        <v>1110</v>
      </c>
    </row>
    <row r="1062" spans="1:17">
      <c r="A1062" s="2">
        <v>45886</v>
      </c>
      <c r="B1062">
        <v>6</v>
      </c>
      <c r="C1062">
        <v>1</v>
      </c>
      <c r="D1062" t="s">
        <v>17</v>
      </c>
      <c r="E1062" t="s">
        <v>129</v>
      </c>
      <c r="F1062" t="s">
        <v>1069</v>
      </c>
      <c r="G1062">
        <v>0</v>
      </c>
      <c r="H1062">
        <v>0</v>
      </c>
      <c r="I1062">
        <v>0</v>
      </c>
      <c r="J1062" t="s">
        <v>1230</v>
      </c>
      <c r="L1062">
        <v>36</v>
      </c>
      <c r="N1062" t="s">
        <v>1107</v>
      </c>
      <c r="O1062">
        <v>61.8</v>
      </c>
      <c r="P1062">
        <v>7.2</v>
      </c>
      <c r="Q1062" t="s">
        <v>1112</v>
      </c>
    </row>
    <row r="1063" spans="1:17">
      <c r="A1063" s="2">
        <v>45886</v>
      </c>
      <c r="B1063">
        <v>6</v>
      </c>
      <c r="C1063">
        <v>2</v>
      </c>
      <c r="D1063" t="s">
        <v>1269</v>
      </c>
      <c r="E1063" t="s">
        <v>130</v>
      </c>
      <c r="F1063" t="s">
        <v>1070</v>
      </c>
      <c r="G1063">
        <v>2</v>
      </c>
      <c r="H1063">
        <v>0</v>
      </c>
      <c r="I1063">
        <v>2</v>
      </c>
      <c r="J1063" t="s">
        <v>1230</v>
      </c>
      <c r="L1063">
        <v>36</v>
      </c>
      <c r="N1063" t="s">
        <v>1107</v>
      </c>
      <c r="O1063">
        <v>64.8</v>
      </c>
      <c r="P1063">
        <v>6.12</v>
      </c>
      <c r="Q1063" t="s">
        <v>1110</v>
      </c>
    </row>
    <row r="1064" spans="1:17">
      <c r="A1064" s="2">
        <v>45886</v>
      </c>
      <c r="B1064">
        <v>6</v>
      </c>
      <c r="C1064">
        <v>3</v>
      </c>
      <c r="D1064" t="s">
        <v>18</v>
      </c>
      <c r="E1064" t="s">
        <v>131</v>
      </c>
      <c r="F1064" t="s">
        <v>1071</v>
      </c>
      <c r="G1064">
        <v>5</v>
      </c>
      <c r="H1064">
        <v>0</v>
      </c>
      <c r="I1064">
        <v>7</v>
      </c>
      <c r="J1064" t="s">
        <v>1230</v>
      </c>
      <c r="L1064">
        <v>36</v>
      </c>
      <c r="N1064" t="s">
        <v>1107</v>
      </c>
      <c r="O1064">
        <v>75.099999999999994</v>
      </c>
      <c r="P1064">
        <v>6.26</v>
      </c>
      <c r="Q1064" t="s">
        <v>1110</v>
      </c>
    </row>
    <row r="1065" spans="1:17">
      <c r="A1065" s="2">
        <v>45886</v>
      </c>
      <c r="B1065">
        <v>6</v>
      </c>
      <c r="C1065">
        <v>4</v>
      </c>
      <c r="D1065" t="s">
        <v>19</v>
      </c>
      <c r="E1065" t="s">
        <v>132</v>
      </c>
      <c r="F1065" t="s">
        <v>1072</v>
      </c>
      <c r="G1065">
        <v>5</v>
      </c>
      <c r="H1065">
        <v>2</v>
      </c>
      <c r="I1065">
        <v>10</v>
      </c>
      <c r="J1065" t="s">
        <v>1230</v>
      </c>
      <c r="L1065">
        <v>36</v>
      </c>
      <c r="M1065" t="s">
        <v>1218</v>
      </c>
      <c r="N1065" t="s">
        <v>1106</v>
      </c>
      <c r="O1065">
        <v>70.8</v>
      </c>
      <c r="P1065">
        <v>5.08</v>
      </c>
      <c r="Q1065" t="s">
        <v>1110</v>
      </c>
    </row>
    <row r="1066" spans="1:17">
      <c r="A1066" s="2">
        <v>45886</v>
      </c>
      <c r="B1066">
        <v>6</v>
      </c>
      <c r="C1066">
        <v>5</v>
      </c>
      <c r="D1066" t="s">
        <v>1115</v>
      </c>
      <c r="E1066" t="s">
        <v>133</v>
      </c>
      <c r="F1066" t="s">
        <v>1073</v>
      </c>
      <c r="G1066">
        <v>5</v>
      </c>
      <c r="H1066">
        <v>1</v>
      </c>
      <c r="I1066">
        <v>14</v>
      </c>
      <c r="J1066" t="s">
        <v>1230</v>
      </c>
      <c r="L1066">
        <v>36</v>
      </c>
      <c r="N1066" t="s">
        <v>1107</v>
      </c>
      <c r="O1066">
        <v>63.1</v>
      </c>
      <c r="P1066">
        <v>5.33</v>
      </c>
      <c r="Q1066" t="s">
        <v>1110</v>
      </c>
    </row>
    <row r="1067" spans="1:17">
      <c r="A1067" s="2">
        <v>45886</v>
      </c>
      <c r="B1067">
        <v>6</v>
      </c>
      <c r="C1067">
        <v>6</v>
      </c>
      <c r="D1067" t="s">
        <v>1270</v>
      </c>
      <c r="E1067" t="s">
        <v>134</v>
      </c>
      <c r="F1067" t="s">
        <v>955</v>
      </c>
      <c r="G1067">
        <v>4</v>
      </c>
      <c r="H1067">
        <v>1</v>
      </c>
      <c r="I1067">
        <v>17</v>
      </c>
      <c r="J1067" t="s">
        <v>1230</v>
      </c>
      <c r="L1067">
        <v>36</v>
      </c>
      <c r="M1067" t="s">
        <v>1219</v>
      </c>
      <c r="N1067" t="s">
        <v>1107</v>
      </c>
      <c r="O1067">
        <v>76</v>
      </c>
      <c r="P1067">
        <v>6.09</v>
      </c>
      <c r="Q1067" t="s">
        <v>1110</v>
      </c>
    </row>
    <row r="1068" spans="1:17">
      <c r="A1068" s="2">
        <v>45886</v>
      </c>
      <c r="B1068">
        <v>6</v>
      </c>
      <c r="C1068">
        <v>7</v>
      </c>
      <c r="D1068" t="s">
        <v>1114</v>
      </c>
      <c r="E1068" t="s">
        <v>135</v>
      </c>
      <c r="F1068" t="s">
        <v>1074</v>
      </c>
      <c r="G1068">
        <v>3</v>
      </c>
      <c r="H1068">
        <v>4</v>
      </c>
      <c r="I1068">
        <v>16</v>
      </c>
      <c r="J1068" t="s">
        <v>1230</v>
      </c>
      <c r="L1068">
        <v>36</v>
      </c>
      <c r="M1068" t="s">
        <v>1205</v>
      </c>
      <c r="N1068" t="s">
        <v>1107</v>
      </c>
      <c r="O1068">
        <v>81.7</v>
      </c>
      <c r="P1068">
        <v>5.68</v>
      </c>
      <c r="Q1068" t="s">
        <v>1110</v>
      </c>
    </row>
    <row r="1069" spans="1:17">
      <c r="A1069" s="2">
        <v>45886</v>
      </c>
      <c r="B1069">
        <v>6</v>
      </c>
      <c r="C1069">
        <v>8</v>
      </c>
      <c r="D1069" t="s">
        <v>1271</v>
      </c>
      <c r="E1069" t="s">
        <v>136</v>
      </c>
      <c r="F1069" t="s">
        <v>956</v>
      </c>
      <c r="G1069">
        <v>3</v>
      </c>
      <c r="H1069">
        <v>1</v>
      </c>
      <c r="I1069">
        <v>18</v>
      </c>
      <c r="J1069" t="s">
        <v>1230</v>
      </c>
      <c r="L1069">
        <v>36</v>
      </c>
      <c r="M1069" t="s">
        <v>1203</v>
      </c>
      <c r="N1069" t="s">
        <v>1107</v>
      </c>
      <c r="O1069">
        <v>84.2</v>
      </c>
      <c r="P1069">
        <v>6.14</v>
      </c>
      <c r="Q1069" t="s">
        <v>1110</v>
      </c>
    </row>
    <row r="1070" spans="1:17">
      <c r="A1070" s="2">
        <v>45886</v>
      </c>
      <c r="B1070">
        <v>6</v>
      </c>
      <c r="C1070">
        <v>9</v>
      </c>
      <c r="D1070" t="s">
        <v>20</v>
      </c>
      <c r="E1070" t="s">
        <v>137</v>
      </c>
      <c r="F1070" t="s">
        <v>1075</v>
      </c>
      <c r="G1070">
        <v>5</v>
      </c>
      <c r="H1070">
        <v>1</v>
      </c>
      <c r="I1070">
        <v>22</v>
      </c>
      <c r="J1070" t="s">
        <v>1230</v>
      </c>
      <c r="L1070">
        <v>36</v>
      </c>
      <c r="M1070" t="s">
        <v>1205</v>
      </c>
      <c r="N1070" t="s">
        <v>1108</v>
      </c>
      <c r="O1070">
        <v>64.400000000000006</v>
      </c>
      <c r="P1070">
        <v>7.18</v>
      </c>
      <c r="Q1070" t="s">
        <v>1110</v>
      </c>
    </row>
    <row r="1071" spans="1:17">
      <c r="A1071" s="2">
        <v>45886</v>
      </c>
      <c r="B1071">
        <v>6</v>
      </c>
      <c r="C1071">
        <v>10</v>
      </c>
      <c r="D1071" t="s">
        <v>1113</v>
      </c>
      <c r="E1071" t="s">
        <v>138</v>
      </c>
      <c r="F1071" t="s">
        <v>1076</v>
      </c>
      <c r="G1071">
        <v>0</v>
      </c>
      <c r="H1071">
        <v>3</v>
      </c>
      <c r="I1071">
        <v>19</v>
      </c>
      <c r="J1071" t="s">
        <v>1230</v>
      </c>
      <c r="L1071">
        <v>36</v>
      </c>
      <c r="M1071" t="s">
        <v>1206</v>
      </c>
      <c r="N1071" t="s">
        <v>1107</v>
      </c>
      <c r="O1071">
        <v>72.2</v>
      </c>
      <c r="P1071">
        <v>6.59</v>
      </c>
      <c r="Q1071" t="s">
        <v>1110</v>
      </c>
    </row>
    <row r="1072" spans="1:17">
      <c r="A1072" s="2">
        <v>45886</v>
      </c>
      <c r="B1072">
        <v>6</v>
      </c>
      <c r="C1072">
        <v>11</v>
      </c>
      <c r="D1072" t="s">
        <v>1272</v>
      </c>
      <c r="E1072" t="s">
        <v>139</v>
      </c>
      <c r="F1072" t="s">
        <v>1077</v>
      </c>
      <c r="G1072">
        <v>3</v>
      </c>
      <c r="H1072">
        <v>1</v>
      </c>
      <c r="I1072">
        <v>21</v>
      </c>
      <c r="J1072" t="s">
        <v>1230</v>
      </c>
      <c r="L1072">
        <v>36</v>
      </c>
      <c r="M1072" t="s">
        <v>1203</v>
      </c>
      <c r="N1072" t="s">
        <v>1107</v>
      </c>
      <c r="O1072">
        <v>73.8</v>
      </c>
      <c r="P1072">
        <v>6.82</v>
      </c>
      <c r="Q1072" t="s">
        <v>1111</v>
      </c>
    </row>
    <row r="1073" spans="1:17">
      <c r="A1073" s="2">
        <v>45886</v>
      </c>
      <c r="B1073">
        <v>6</v>
      </c>
      <c r="C1073">
        <v>12</v>
      </c>
      <c r="D1073" t="s">
        <v>21</v>
      </c>
      <c r="E1073" t="s">
        <v>140</v>
      </c>
      <c r="F1073" t="s">
        <v>1078</v>
      </c>
      <c r="G1073">
        <v>0</v>
      </c>
      <c r="H1073">
        <v>3</v>
      </c>
      <c r="I1073">
        <v>18</v>
      </c>
      <c r="J1073" t="s">
        <v>1230</v>
      </c>
      <c r="L1073">
        <v>36</v>
      </c>
      <c r="M1073" t="s">
        <v>1205</v>
      </c>
      <c r="N1073" t="s">
        <v>1107</v>
      </c>
      <c r="O1073">
        <v>83.7</v>
      </c>
      <c r="P1073">
        <v>6.17</v>
      </c>
      <c r="Q1073" t="s">
        <v>1110</v>
      </c>
    </row>
    <row r="1074" spans="1:17">
      <c r="A1074" s="2">
        <v>45886</v>
      </c>
      <c r="B1074">
        <v>6</v>
      </c>
      <c r="C1074">
        <v>13</v>
      </c>
      <c r="D1074" t="s">
        <v>22</v>
      </c>
      <c r="E1074" t="s">
        <v>141</v>
      </c>
      <c r="F1074" t="s">
        <v>1079</v>
      </c>
      <c r="G1074">
        <v>2</v>
      </c>
      <c r="H1074">
        <v>1</v>
      </c>
      <c r="I1074">
        <v>19</v>
      </c>
      <c r="J1074" t="s">
        <v>1230</v>
      </c>
      <c r="L1074">
        <v>36</v>
      </c>
      <c r="M1074" t="s">
        <v>1204</v>
      </c>
      <c r="N1074" t="s">
        <v>1107</v>
      </c>
      <c r="O1074">
        <v>84.2</v>
      </c>
      <c r="P1074">
        <v>6.6</v>
      </c>
      <c r="Q1074" t="s">
        <v>1110</v>
      </c>
    </row>
    <row r="1075" spans="1:17">
      <c r="A1075" s="2">
        <v>45886</v>
      </c>
      <c r="B1075">
        <v>6</v>
      </c>
      <c r="C1075">
        <v>14</v>
      </c>
      <c r="D1075" t="s">
        <v>23</v>
      </c>
      <c r="E1075" t="s">
        <v>142</v>
      </c>
      <c r="F1075" t="s">
        <v>1080</v>
      </c>
      <c r="G1075">
        <v>4</v>
      </c>
      <c r="H1075">
        <v>0</v>
      </c>
      <c r="I1075">
        <v>23</v>
      </c>
      <c r="J1075" t="s">
        <v>1230</v>
      </c>
      <c r="L1075">
        <v>36</v>
      </c>
      <c r="N1075" t="s">
        <v>1107</v>
      </c>
      <c r="O1075">
        <v>71.900000000000006</v>
      </c>
      <c r="P1075">
        <v>5.38</v>
      </c>
      <c r="Q1075" t="s">
        <v>1110</v>
      </c>
    </row>
    <row r="1076" spans="1:17">
      <c r="A1076" s="2">
        <v>45886</v>
      </c>
      <c r="B1076">
        <v>6</v>
      </c>
      <c r="C1076">
        <v>15</v>
      </c>
      <c r="D1076" t="s">
        <v>24</v>
      </c>
      <c r="E1076" t="s">
        <v>143</v>
      </c>
      <c r="F1076" t="s">
        <v>1081</v>
      </c>
      <c r="G1076">
        <v>1</v>
      </c>
      <c r="H1076">
        <v>4</v>
      </c>
      <c r="I1076">
        <v>20</v>
      </c>
      <c r="J1076" t="s">
        <v>1230</v>
      </c>
      <c r="L1076">
        <v>36</v>
      </c>
      <c r="N1076" t="s">
        <v>1107</v>
      </c>
      <c r="O1076">
        <v>63.9</v>
      </c>
      <c r="P1076">
        <v>5.38</v>
      </c>
      <c r="Q1076" t="s">
        <v>1110</v>
      </c>
    </row>
    <row r="1077" spans="1:17">
      <c r="A1077" s="2">
        <v>45886</v>
      </c>
      <c r="B1077">
        <v>6</v>
      </c>
      <c r="C1077">
        <v>16</v>
      </c>
      <c r="D1077" t="s">
        <v>1273</v>
      </c>
      <c r="E1077" t="s">
        <v>144</v>
      </c>
      <c r="F1077" t="s">
        <v>1082</v>
      </c>
      <c r="G1077">
        <v>3</v>
      </c>
      <c r="H1077">
        <v>1</v>
      </c>
      <c r="I1077">
        <v>22</v>
      </c>
      <c r="J1077" t="s">
        <v>1230</v>
      </c>
      <c r="L1077">
        <v>36</v>
      </c>
      <c r="M1077" t="s">
        <v>1208</v>
      </c>
      <c r="N1077" t="s">
        <v>1107</v>
      </c>
      <c r="O1077">
        <v>61.3</v>
      </c>
      <c r="P1077">
        <v>7.18</v>
      </c>
      <c r="Q1077" t="s">
        <v>1112</v>
      </c>
    </row>
    <row r="1078" spans="1:17">
      <c r="A1078" s="2">
        <v>45886</v>
      </c>
      <c r="B1078">
        <v>6</v>
      </c>
      <c r="C1078">
        <v>17</v>
      </c>
      <c r="D1078" t="s">
        <v>25</v>
      </c>
      <c r="E1078" t="s">
        <v>145</v>
      </c>
      <c r="F1078" t="s">
        <v>1083</v>
      </c>
      <c r="G1078">
        <v>3</v>
      </c>
      <c r="H1078">
        <v>5</v>
      </c>
      <c r="I1078">
        <v>20</v>
      </c>
      <c r="J1078" t="s">
        <v>1230</v>
      </c>
      <c r="K1078" t="s">
        <v>1104</v>
      </c>
      <c r="L1078">
        <v>36</v>
      </c>
      <c r="M1078">
        <v>5</v>
      </c>
      <c r="N1078" t="s">
        <v>1107</v>
      </c>
      <c r="O1078">
        <v>66.2</v>
      </c>
      <c r="P1078">
        <v>6.83</v>
      </c>
      <c r="Q1078" t="s">
        <v>1110</v>
      </c>
    </row>
    <row r="1079" spans="1:17">
      <c r="A1079" s="2">
        <v>45886</v>
      </c>
      <c r="B1079">
        <v>6</v>
      </c>
      <c r="C1079">
        <v>18</v>
      </c>
      <c r="D1079" t="s">
        <v>26</v>
      </c>
      <c r="E1079" t="s">
        <v>146</v>
      </c>
      <c r="F1079" t="s">
        <v>1084</v>
      </c>
      <c r="G1079">
        <v>2</v>
      </c>
      <c r="H1079">
        <v>5</v>
      </c>
      <c r="I1079">
        <v>17</v>
      </c>
      <c r="J1079" t="s">
        <v>1230</v>
      </c>
      <c r="K1079" t="s">
        <v>1104</v>
      </c>
      <c r="L1079">
        <v>36</v>
      </c>
      <c r="M1079" t="s">
        <v>1223</v>
      </c>
      <c r="N1079" t="s">
        <v>1107</v>
      </c>
      <c r="O1079">
        <v>84.7</v>
      </c>
      <c r="P1079">
        <v>7.4</v>
      </c>
      <c r="Q1079" t="s">
        <v>1110</v>
      </c>
    </row>
    <row r="1080" spans="1:17">
      <c r="A1080" s="2">
        <v>45886</v>
      </c>
      <c r="B1080">
        <v>6</v>
      </c>
      <c r="C1080">
        <v>19</v>
      </c>
      <c r="D1080" t="s">
        <v>27</v>
      </c>
      <c r="E1080" t="s">
        <v>147</v>
      </c>
      <c r="F1080" t="s">
        <v>1085</v>
      </c>
      <c r="G1080">
        <v>3</v>
      </c>
      <c r="H1080">
        <v>4</v>
      </c>
      <c r="I1080">
        <v>16</v>
      </c>
      <c r="J1080" t="s">
        <v>1230</v>
      </c>
      <c r="K1080" t="s">
        <v>1104</v>
      </c>
      <c r="L1080">
        <v>36</v>
      </c>
      <c r="M1080">
        <v>5</v>
      </c>
      <c r="N1080" t="s">
        <v>1107</v>
      </c>
      <c r="O1080">
        <v>70.7</v>
      </c>
      <c r="P1080">
        <v>7.83</v>
      </c>
      <c r="Q1080" t="s">
        <v>1111</v>
      </c>
    </row>
    <row r="1081" spans="1:17">
      <c r="A1081" s="2">
        <v>45886</v>
      </c>
      <c r="B1081">
        <v>6</v>
      </c>
      <c r="C1081">
        <v>20</v>
      </c>
      <c r="D1081" t="s">
        <v>28</v>
      </c>
      <c r="E1081" t="s">
        <v>148</v>
      </c>
      <c r="F1081" t="s">
        <v>296</v>
      </c>
      <c r="G1081">
        <v>2</v>
      </c>
      <c r="H1081">
        <v>2</v>
      </c>
      <c r="I1081">
        <v>16</v>
      </c>
      <c r="J1081" t="s">
        <v>1230</v>
      </c>
      <c r="K1081" t="s">
        <v>1104</v>
      </c>
      <c r="L1081">
        <v>36</v>
      </c>
      <c r="M1081" t="s">
        <v>1228</v>
      </c>
      <c r="N1081" t="s">
        <v>1107</v>
      </c>
      <c r="O1081">
        <v>67.599999999999994</v>
      </c>
      <c r="P1081">
        <v>7.57</v>
      </c>
      <c r="Q1081" t="s">
        <v>1111</v>
      </c>
    </row>
    <row r="1082" spans="1:17">
      <c r="A1082" s="2">
        <v>45886</v>
      </c>
      <c r="B1082">
        <v>7</v>
      </c>
      <c r="C1082">
        <v>1</v>
      </c>
      <c r="D1082" t="s">
        <v>17</v>
      </c>
      <c r="E1082" t="s">
        <v>149</v>
      </c>
      <c r="F1082" t="s">
        <v>1234</v>
      </c>
      <c r="G1082">
        <v>0</v>
      </c>
      <c r="H1082">
        <v>0</v>
      </c>
      <c r="I1082">
        <v>0</v>
      </c>
      <c r="J1082" t="s">
        <v>1230</v>
      </c>
      <c r="K1082" s="26" t="s">
        <v>1232</v>
      </c>
      <c r="L1082">
        <v>35</v>
      </c>
      <c r="N1082" t="s">
        <v>1107</v>
      </c>
      <c r="O1082">
        <v>67.8</v>
      </c>
      <c r="P1082">
        <v>5.27</v>
      </c>
      <c r="Q1082" t="s">
        <v>1110</v>
      </c>
    </row>
    <row r="1083" spans="1:17">
      <c r="A1083" s="2">
        <v>45886</v>
      </c>
      <c r="B1083">
        <v>7</v>
      </c>
      <c r="C1083">
        <v>2</v>
      </c>
      <c r="D1083" t="s">
        <v>1269</v>
      </c>
      <c r="E1083" t="s">
        <v>150</v>
      </c>
      <c r="F1083" t="s">
        <v>1235</v>
      </c>
      <c r="G1083" t="s">
        <v>1252</v>
      </c>
      <c r="H1083">
        <v>0</v>
      </c>
      <c r="I1083">
        <v>4</v>
      </c>
      <c r="J1083" t="s">
        <v>1230</v>
      </c>
      <c r="K1083" s="26" t="s">
        <v>1232</v>
      </c>
      <c r="L1083">
        <v>35</v>
      </c>
      <c r="N1083" t="s">
        <v>1107</v>
      </c>
      <c r="O1083">
        <v>83.6</v>
      </c>
      <c r="P1083">
        <v>5.5</v>
      </c>
      <c r="Q1083" t="s">
        <v>1110</v>
      </c>
    </row>
    <row r="1084" spans="1:17">
      <c r="A1084" s="2">
        <v>45886</v>
      </c>
      <c r="B1084">
        <v>7</v>
      </c>
      <c r="C1084">
        <v>3</v>
      </c>
      <c r="D1084" t="s">
        <v>18</v>
      </c>
      <c r="E1084" t="s">
        <v>151</v>
      </c>
      <c r="F1084" t="s">
        <v>1236</v>
      </c>
      <c r="G1084" t="s">
        <v>1253</v>
      </c>
      <c r="H1084" t="s">
        <v>1254</v>
      </c>
      <c r="I1084">
        <v>5</v>
      </c>
      <c r="J1084" t="s">
        <v>1230</v>
      </c>
      <c r="K1084" s="26" t="s">
        <v>1232</v>
      </c>
      <c r="L1084">
        <v>35</v>
      </c>
      <c r="M1084">
        <v>8.1</v>
      </c>
      <c r="N1084" t="s">
        <v>1107</v>
      </c>
      <c r="O1084">
        <v>73.900000000000006</v>
      </c>
      <c r="P1084">
        <v>6.48</v>
      </c>
      <c r="Q1084" t="s">
        <v>1111</v>
      </c>
    </row>
    <row r="1085" spans="1:17">
      <c r="A1085" s="2">
        <v>45886</v>
      </c>
      <c r="B1085">
        <v>7</v>
      </c>
      <c r="C1085">
        <v>4</v>
      </c>
      <c r="D1085" t="s">
        <v>19</v>
      </c>
      <c r="E1085" t="s">
        <v>152</v>
      </c>
      <c r="F1085" t="s">
        <v>1237</v>
      </c>
      <c r="G1085">
        <v>0</v>
      </c>
      <c r="H1085" t="s">
        <v>1253</v>
      </c>
      <c r="I1085">
        <v>3</v>
      </c>
      <c r="J1085" t="s">
        <v>1230</v>
      </c>
      <c r="K1085" s="26" t="s">
        <v>1232</v>
      </c>
      <c r="L1085">
        <v>35</v>
      </c>
      <c r="M1085">
        <v>8</v>
      </c>
      <c r="N1085" t="s">
        <v>1109</v>
      </c>
      <c r="O1085">
        <v>70.599999999999994</v>
      </c>
      <c r="P1085">
        <v>6.53</v>
      </c>
      <c r="Q1085" t="s">
        <v>1110</v>
      </c>
    </row>
    <row r="1086" spans="1:17">
      <c r="A1086" s="2">
        <v>45886</v>
      </c>
      <c r="B1086">
        <v>7</v>
      </c>
      <c r="C1086">
        <v>5</v>
      </c>
      <c r="D1086" t="s">
        <v>1115</v>
      </c>
      <c r="E1086" t="s">
        <v>153</v>
      </c>
      <c r="F1086" t="s">
        <v>1238</v>
      </c>
      <c r="G1086" t="s">
        <v>1256</v>
      </c>
      <c r="H1086" t="s">
        <v>1255</v>
      </c>
      <c r="I1086">
        <v>6</v>
      </c>
      <c r="J1086" t="s">
        <v>1230</v>
      </c>
      <c r="K1086" s="26" t="s">
        <v>1232</v>
      </c>
      <c r="L1086">
        <v>35</v>
      </c>
      <c r="M1086">
        <v>7.9</v>
      </c>
      <c r="N1086" t="s">
        <v>1107</v>
      </c>
      <c r="O1086">
        <v>72.900000000000006</v>
      </c>
      <c r="P1086">
        <v>7.99</v>
      </c>
      <c r="Q1086" t="s">
        <v>1111</v>
      </c>
    </row>
    <row r="1087" spans="1:17">
      <c r="A1087" s="2">
        <v>45886</v>
      </c>
      <c r="B1087">
        <v>7</v>
      </c>
      <c r="C1087">
        <v>6</v>
      </c>
      <c r="D1087" t="s">
        <v>1270</v>
      </c>
      <c r="E1087" t="s">
        <v>154</v>
      </c>
      <c r="F1087" t="s">
        <v>1239</v>
      </c>
      <c r="G1087" t="s">
        <v>1257</v>
      </c>
      <c r="H1087" t="s">
        <v>1256</v>
      </c>
      <c r="I1087">
        <v>3</v>
      </c>
      <c r="J1087" t="s">
        <v>1230</v>
      </c>
      <c r="K1087" s="26" t="s">
        <v>1232</v>
      </c>
      <c r="L1087">
        <v>35</v>
      </c>
      <c r="M1087">
        <v>8</v>
      </c>
      <c r="N1087" t="s">
        <v>1107</v>
      </c>
      <c r="O1087">
        <v>70.099999999999994</v>
      </c>
      <c r="P1087">
        <v>6.85</v>
      </c>
      <c r="Q1087" t="s">
        <v>1111</v>
      </c>
    </row>
    <row r="1088" spans="1:17">
      <c r="A1088" s="2">
        <v>45886</v>
      </c>
      <c r="B1088">
        <v>7</v>
      </c>
      <c r="C1088">
        <v>7</v>
      </c>
      <c r="D1088" t="s">
        <v>1114</v>
      </c>
      <c r="E1088" t="s">
        <v>155</v>
      </c>
      <c r="F1088" t="s">
        <v>1240</v>
      </c>
      <c r="G1088">
        <v>1</v>
      </c>
      <c r="H1088" t="s">
        <v>1258</v>
      </c>
      <c r="I1088">
        <v>1</v>
      </c>
      <c r="J1088" t="s">
        <v>1230</v>
      </c>
      <c r="K1088" s="26" t="s">
        <v>1232</v>
      </c>
      <c r="L1088">
        <v>35</v>
      </c>
      <c r="M1088">
        <v>8.1</v>
      </c>
      <c r="N1088" t="s">
        <v>1107</v>
      </c>
      <c r="O1088">
        <v>77.900000000000006</v>
      </c>
      <c r="P1088">
        <v>7.11</v>
      </c>
      <c r="Q1088" t="s">
        <v>1110</v>
      </c>
    </row>
    <row r="1089" spans="1:17">
      <c r="A1089" s="2">
        <v>45886</v>
      </c>
      <c r="B1089">
        <v>7</v>
      </c>
      <c r="C1089">
        <v>8</v>
      </c>
      <c r="D1089" t="s">
        <v>1271</v>
      </c>
      <c r="E1089" t="s">
        <v>156</v>
      </c>
      <c r="F1089" t="s">
        <v>1241</v>
      </c>
      <c r="G1089">
        <v>4</v>
      </c>
      <c r="H1089" t="s">
        <v>1259</v>
      </c>
      <c r="I1089">
        <v>5</v>
      </c>
      <c r="J1089" t="s">
        <v>1230</v>
      </c>
      <c r="K1089" s="26" t="s">
        <v>1232</v>
      </c>
      <c r="L1089">
        <v>35</v>
      </c>
      <c r="N1089" t="s">
        <v>1107</v>
      </c>
      <c r="O1089">
        <v>78.5</v>
      </c>
      <c r="P1089">
        <v>7.85</v>
      </c>
      <c r="Q1089" t="s">
        <v>1111</v>
      </c>
    </row>
    <row r="1090" spans="1:17">
      <c r="A1090" s="2">
        <v>45886</v>
      </c>
      <c r="B1090">
        <v>7</v>
      </c>
      <c r="C1090">
        <v>9</v>
      </c>
      <c r="D1090" t="s">
        <v>20</v>
      </c>
      <c r="E1090" t="s">
        <v>157</v>
      </c>
      <c r="F1090" t="s">
        <v>1242</v>
      </c>
      <c r="G1090">
        <v>1</v>
      </c>
      <c r="H1090">
        <v>2</v>
      </c>
      <c r="I1090">
        <v>4</v>
      </c>
      <c r="J1090" t="s">
        <v>1230</v>
      </c>
      <c r="K1090" s="26" t="s">
        <v>1232</v>
      </c>
      <c r="L1090">
        <v>35</v>
      </c>
      <c r="M1090">
        <v>7.4</v>
      </c>
      <c r="N1090" t="s">
        <v>1107</v>
      </c>
      <c r="O1090">
        <v>73.2</v>
      </c>
      <c r="P1090">
        <v>6.83</v>
      </c>
      <c r="Q1090" t="s">
        <v>1110</v>
      </c>
    </row>
    <row r="1091" spans="1:17">
      <c r="A1091" s="2">
        <v>45886</v>
      </c>
      <c r="B1091">
        <v>7</v>
      </c>
      <c r="C1091">
        <v>10</v>
      </c>
      <c r="D1091" t="s">
        <v>1113</v>
      </c>
      <c r="E1091" t="s">
        <v>158</v>
      </c>
      <c r="F1091" t="s">
        <v>1243</v>
      </c>
      <c r="G1091">
        <v>4</v>
      </c>
      <c r="H1091">
        <v>3</v>
      </c>
      <c r="I1091">
        <v>5</v>
      </c>
      <c r="J1091" t="s">
        <v>1230</v>
      </c>
      <c r="K1091" s="26" t="s">
        <v>1232</v>
      </c>
      <c r="L1091">
        <v>35</v>
      </c>
      <c r="M1091">
        <v>7.2</v>
      </c>
      <c r="N1091" t="s">
        <v>1109</v>
      </c>
      <c r="O1091">
        <v>76.900000000000006</v>
      </c>
      <c r="P1091">
        <v>7.65</v>
      </c>
      <c r="Q1091" t="s">
        <v>1110</v>
      </c>
    </row>
    <row r="1092" spans="1:17">
      <c r="A1092" s="2">
        <v>45886</v>
      </c>
      <c r="B1092">
        <v>7</v>
      </c>
      <c r="C1092">
        <v>11</v>
      </c>
      <c r="D1092" t="s">
        <v>1272</v>
      </c>
      <c r="E1092" t="s">
        <v>159</v>
      </c>
      <c r="F1092" t="s">
        <v>1244</v>
      </c>
      <c r="G1092">
        <v>0</v>
      </c>
      <c r="H1092">
        <v>2</v>
      </c>
      <c r="I1092">
        <v>3</v>
      </c>
      <c r="J1092" t="s">
        <v>1230</v>
      </c>
      <c r="K1092" s="26" t="s">
        <v>1232</v>
      </c>
      <c r="L1092">
        <v>35</v>
      </c>
      <c r="M1092">
        <v>6.9</v>
      </c>
      <c r="N1092" t="s">
        <v>1107</v>
      </c>
      <c r="O1092">
        <v>61.9</v>
      </c>
      <c r="P1092">
        <v>7.52</v>
      </c>
      <c r="Q1092" t="s">
        <v>1110</v>
      </c>
    </row>
    <row r="1093" spans="1:17">
      <c r="A1093" s="2">
        <v>45886</v>
      </c>
      <c r="B1093">
        <v>7</v>
      </c>
      <c r="C1093">
        <v>12</v>
      </c>
      <c r="D1093" t="s">
        <v>21</v>
      </c>
      <c r="E1093" t="s">
        <v>160</v>
      </c>
      <c r="F1093" t="s">
        <v>1236</v>
      </c>
      <c r="G1093">
        <v>3</v>
      </c>
      <c r="H1093">
        <v>1</v>
      </c>
      <c r="I1093">
        <v>5</v>
      </c>
      <c r="J1093" t="s">
        <v>1230</v>
      </c>
      <c r="K1093" s="26" t="s">
        <v>1232</v>
      </c>
      <c r="L1093">
        <v>35</v>
      </c>
      <c r="M1093">
        <v>8.1</v>
      </c>
      <c r="N1093" t="s">
        <v>1109</v>
      </c>
      <c r="O1093">
        <v>70.599999999999994</v>
      </c>
      <c r="P1093">
        <v>6.14</v>
      </c>
      <c r="Q1093" t="s">
        <v>1110</v>
      </c>
    </row>
    <row r="1094" spans="1:17">
      <c r="A1094" s="2">
        <v>45886</v>
      </c>
      <c r="B1094">
        <v>7</v>
      </c>
      <c r="C1094">
        <v>13</v>
      </c>
      <c r="D1094" t="s">
        <v>22</v>
      </c>
      <c r="E1094" t="s">
        <v>161</v>
      </c>
      <c r="F1094" t="s">
        <v>1245</v>
      </c>
      <c r="G1094">
        <v>5</v>
      </c>
      <c r="H1094">
        <v>4</v>
      </c>
      <c r="I1094">
        <v>6</v>
      </c>
      <c r="J1094" t="s">
        <v>1230</v>
      </c>
      <c r="K1094" s="26" t="s">
        <v>1232</v>
      </c>
      <c r="L1094">
        <v>35</v>
      </c>
      <c r="N1094" t="s">
        <v>1107</v>
      </c>
      <c r="O1094">
        <v>82.9</v>
      </c>
      <c r="P1094">
        <v>5.75</v>
      </c>
      <c r="Q1094" t="s">
        <v>1110</v>
      </c>
    </row>
    <row r="1095" spans="1:17">
      <c r="A1095" s="2">
        <v>45886</v>
      </c>
      <c r="B1095">
        <v>7</v>
      </c>
      <c r="C1095">
        <v>14</v>
      </c>
      <c r="D1095" t="s">
        <v>23</v>
      </c>
      <c r="E1095" t="s">
        <v>162</v>
      </c>
      <c r="F1095" t="s">
        <v>1236</v>
      </c>
      <c r="G1095">
        <v>3</v>
      </c>
      <c r="H1095">
        <v>5</v>
      </c>
      <c r="I1095">
        <v>4</v>
      </c>
      <c r="J1095" t="s">
        <v>1230</v>
      </c>
      <c r="K1095" s="26" t="s">
        <v>1232</v>
      </c>
      <c r="L1095">
        <v>35</v>
      </c>
      <c r="M1095">
        <v>8.1</v>
      </c>
      <c r="N1095" t="s">
        <v>1107</v>
      </c>
      <c r="O1095">
        <v>62.9</v>
      </c>
      <c r="P1095">
        <v>5.9</v>
      </c>
      <c r="Q1095" t="s">
        <v>1110</v>
      </c>
    </row>
    <row r="1096" spans="1:17">
      <c r="A1096" s="2">
        <v>45886</v>
      </c>
      <c r="B1096">
        <v>7</v>
      </c>
      <c r="C1096">
        <v>15</v>
      </c>
      <c r="D1096" t="s">
        <v>24</v>
      </c>
      <c r="E1096" t="s">
        <v>163</v>
      </c>
      <c r="F1096" t="s">
        <v>1246</v>
      </c>
      <c r="G1096">
        <v>3</v>
      </c>
      <c r="H1096">
        <v>3</v>
      </c>
      <c r="I1096">
        <v>4</v>
      </c>
      <c r="J1096" t="s">
        <v>1230</v>
      </c>
      <c r="K1096" s="26" t="s">
        <v>1232</v>
      </c>
      <c r="L1096">
        <v>35</v>
      </c>
      <c r="M1096">
        <v>7.8</v>
      </c>
      <c r="N1096" t="s">
        <v>1107</v>
      </c>
      <c r="O1096">
        <v>78.5</v>
      </c>
      <c r="P1096">
        <v>6.71</v>
      </c>
      <c r="Q1096" t="s">
        <v>1110</v>
      </c>
    </row>
    <row r="1097" spans="1:17">
      <c r="A1097" s="2">
        <v>45886</v>
      </c>
      <c r="B1097">
        <v>7</v>
      </c>
      <c r="C1097">
        <v>16</v>
      </c>
      <c r="D1097" t="s">
        <v>1273</v>
      </c>
      <c r="E1097" t="s">
        <v>164</v>
      </c>
      <c r="F1097" t="s">
        <v>1247</v>
      </c>
      <c r="G1097">
        <v>0</v>
      </c>
      <c r="H1097">
        <v>4</v>
      </c>
      <c r="I1097">
        <v>0</v>
      </c>
      <c r="J1097" t="s">
        <v>1230</v>
      </c>
      <c r="K1097" s="26" t="s">
        <v>1232</v>
      </c>
      <c r="L1097">
        <v>35</v>
      </c>
      <c r="M1097">
        <v>6.7</v>
      </c>
      <c r="N1097" t="s">
        <v>1107</v>
      </c>
      <c r="O1097">
        <v>83.3</v>
      </c>
      <c r="P1097">
        <v>6.93</v>
      </c>
      <c r="Q1097" t="s">
        <v>1111</v>
      </c>
    </row>
    <row r="1098" spans="1:17">
      <c r="A1098" s="2">
        <v>45886</v>
      </c>
      <c r="B1098">
        <v>7</v>
      </c>
      <c r="C1098">
        <v>17</v>
      </c>
      <c r="D1098" t="s">
        <v>25</v>
      </c>
      <c r="E1098" t="s">
        <v>165</v>
      </c>
      <c r="F1098" t="s">
        <v>1248</v>
      </c>
      <c r="G1098">
        <v>2</v>
      </c>
      <c r="H1098">
        <v>0</v>
      </c>
      <c r="I1098">
        <v>2</v>
      </c>
      <c r="J1098" t="s">
        <v>1230</v>
      </c>
      <c r="K1098" s="26" t="s">
        <v>1233</v>
      </c>
      <c r="L1098">
        <v>35</v>
      </c>
      <c r="N1098" t="s">
        <v>1107</v>
      </c>
      <c r="O1098">
        <v>71.599999999999994</v>
      </c>
      <c r="P1098">
        <v>6.85</v>
      </c>
      <c r="Q1098" t="s">
        <v>1110</v>
      </c>
    </row>
    <row r="1099" spans="1:17">
      <c r="A1099" s="2">
        <v>45886</v>
      </c>
      <c r="B1099">
        <v>7</v>
      </c>
      <c r="C1099">
        <v>18</v>
      </c>
      <c r="D1099" t="s">
        <v>26</v>
      </c>
      <c r="E1099" t="s">
        <v>166</v>
      </c>
      <c r="F1099" t="s">
        <v>1249</v>
      </c>
      <c r="G1099" t="s">
        <v>1260</v>
      </c>
      <c r="H1099">
        <v>0</v>
      </c>
      <c r="I1099">
        <v>6</v>
      </c>
      <c r="J1099" t="s">
        <v>1230</v>
      </c>
      <c r="K1099" s="26" t="s">
        <v>1233</v>
      </c>
      <c r="L1099">
        <v>35</v>
      </c>
      <c r="N1099" t="s">
        <v>1107</v>
      </c>
      <c r="O1099">
        <v>75.400000000000006</v>
      </c>
      <c r="P1099">
        <v>5.99</v>
      </c>
      <c r="Q1099" t="s">
        <v>1110</v>
      </c>
    </row>
    <row r="1100" spans="1:17">
      <c r="A1100" s="2">
        <v>45886</v>
      </c>
      <c r="B1100">
        <v>7</v>
      </c>
      <c r="C1100">
        <v>19</v>
      </c>
      <c r="D1100" t="s">
        <v>27</v>
      </c>
      <c r="E1100" t="s">
        <v>167</v>
      </c>
      <c r="F1100" t="s">
        <v>1250</v>
      </c>
      <c r="G1100">
        <v>4</v>
      </c>
      <c r="H1100">
        <v>3</v>
      </c>
      <c r="I1100">
        <v>7</v>
      </c>
      <c r="J1100" t="s">
        <v>1230</v>
      </c>
      <c r="K1100" s="26" t="s">
        <v>1233</v>
      </c>
      <c r="L1100">
        <v>35</v>
      </c>
      <c r="N1100" t="s">
        <v>1107</v>
      </c>
      <c r="O1100">
        <v>82.3</v>
      </c>
      <c r="P1100">
        <v>5.56</v>
      </c>
      <c r="Q1100" t="s">
        <v>1110</v>
      </c>
    </row>
    <row r="1101" spans="1:17">
      <c r="A1101" s="2">
        <v>45886</v>
      </c>
      <c r="B1101">
        <v>7</v>
      </c>
      <c r="C1101">
        <v>20</v>
      </c>
      <c r="D1101" t="s">
        <v>28</v>
      </c>
      <c r="E1101" t="s">
        <v>168</v>
      </c>
      <c r="F1101" t="s">
        <v>1251</v>
      </c>
      <c r="G1101">
        <v>4</v>
      </c>
      <c r="H1101">
        <v>3</v>
      </c>
      <c r="I1101">
        <v>8</v>
      </c>
      <c r="J1101" t="s">
        <v>1230</v>
      </c>
      <c r="K1101" s="26" t="s">
        <v>1233</v>
      </c>
      <c r="L1101">
        <v>35</v>
      </c>
      <c r="M1101">
        <v>4.0999999999999996</v>
      </c>
      <c r="N1101" t="s">
        <v>1107</v>
      </c>
      <c r="O1101">
        <v>72.3</v>
      </c>
      <c r="P1101">
        <v>5.25</v>
      </c>
      <c r="Q1101" t="s">
        <v>1110</v>
      </c>
    </row>
    <row r="1102" spans="1:17">
      <c r="A1102" s="2">
        <v>45886</v>
      </c>
      <c r="B1102">
        <v>8</v>
      </c>
      <c r="C1102">
        <v>1</v>
      </c>
      <c r="D1102" t="s">
        <v>17</v>
      </c>
      <c r="E1102" t="s">
        <v>169</v>
      </c>
      <c r="F1102" t="s">
        <v>169</v>
      </c>
      <c r="G1102">
        <v>0</v>
      </c>
      <c r="H1102">
        <v>0</v>
      </c>
      <c r="I1102">
        <v>0</v>
      </c>
      <c r="J1102" t="s">
        <v>1230</v>
      </c>
      <c r="L1102">
        <v>36</v>
      </c>
      <c r="N1102" t="s">
        <v>1107</v>
      </c>
      <c r="O1102">
        <v>63.1</v>
      </c>
      <c r="P1102">
        <v>6.46</v>
      </c>
      <c r="Q1102" t="s">
        <v>1110</v>
      </c>
    </row>
    <row r="1103" spans="1:17">
      <c r="A1103" s="2">
        <v>45886</v>
      </c>
      <c r="B1103">
        <v>8</v>
      </c>
      <c r="C1103">
        <v>2</v>
      </c>
      <c r="D1103" t="s">
        <v>1269</v>
      </c>
      <c r="E1103" t="s">
        <v>170</v>
      </c>
      <c r="F1103" t="s">
        <v>1086</v>
      </c>
      <c r="G1103">
        <v>4</v>
      </c>
      <c r="H1103">
        <v>0</v>
      </c>
      <c r="I1103">
        <v>4</v>
      </c>
      <c r="J1103" t="s">
        <v>1230</v>
      </c>
      <c r="L1103">
        <v>36</v>
      </c>
      <c r="N1103" t="s">
        <v>1107</v>
      </c>
      <c r="O1103">
        <v>65.7</v>
      </c>
      <c r="P1103">
        <v>6.19</v>
      </c>
      <c r="Q1103" t="s">
        <v>1110</v>
      </c>
    </row>
    <row r="1104" spans="1:17">
      <c r="A1104" s="2">
        <v>45886</v>
      </c>
      <c r="B1104">
        <v>8</v>
      </c>
      <c r="C1104">
        <v>3</v>
      </c>
      <c r="D1104" t="s">
        <v>18</v>
      </c>
      <c r="E1104" t="s">
        <v>171</v>
      </c>
      <c r="F1104" t="s">
        <v>1087</v>
      </c>
      <c r="G1104">
        <v>4</v>
      </c>
      <c r="H1104">
        <v>2</v>
      </c>
      <c r="I1104">
        <v>6</v>
      </c>
      <c r="J1104" t="s">
        <v>1230</v>
      </c>
      <c r="L1104">
        <v>36</v>
      </c>
      <c r="M1104" t="s">
        <v>1206</v>
      </c>
      <c r="N1104" t="s">
        <v>1107</v>
      </c>
      <c r="O1104">
        <v>64.599999999999994</v>
      </c>
      <c r="P1104">
        <v>7.43</v>
      </c>
      <c r="Q1104" t="s">
        <v>1110</v>
      </c>
    </row>
    <row r="1105" spans="1:17">
      <c r="A1105" s="2">
        <v>45886</v>
      </c>
      <c r="B1105">
        <v>8</v>
      </c>
      <c r="C1105">
        <v>4</v>
      </c>
      <c r="D1105" t="s">
        <v>19</v>
      </c>
      <c r="E1105" t="s">
        <v>172</v>
      </c>
      <c r="F1105" t="s">
        <v>1088</v>
      </c>
      <c r="G1105">
        <v>5</v>
      </c>
      <c r="H1105">
        <v>0</v>
      </c>
      <c r="I1105">
        <v>11</v>
      </c>
      <c r="J1105" t="s">
        <v>1230</v>
      </c>
      <c r="L1105">
        <v>36</v>
      </c>
      <c r="N1105" t="s">
        <v>1107</v>
      </c>
      <c r="O1105">
        <v>81</v>
      </c>
      <c r="P1105">
        <v>5.49</v>
      </c>
      <c r="Q1105" t="s">
        <v>1110</v>
      </c>
    </row>
    <row r="1106" spans="1:17">
      <c r="A1106" s="2">
        <v>45886</v>
      </c>
      <c r="B1106">
        <v>8</v>
      </c>
      <c r="C1106">
        <v>5</v>
      </c>
      <c r="D1106" t="s">
        <v>1115</v>
      </c>
      <c r="E1106" t="s">
        <v>173</v>
      </c>
      <c r="F1106" t="s">
        <v>1089</v>
      </c>
      <c r="G1106">
        <v>3</v>
      </c>
      <c r="H1106">
        <v>1</v>
      </c>
      <c r="I1106">
        <v>13</v>
      </c>
      <c r="J1106" t="s">
        <v>1230</v>
      </c>
      <c r="L1106">
        <v>36</v>
      </c>
      <c r="M1106" t="s">
        <v>1219</v>
      </c>
      <c r="N1106" t="s">
        <v>1107</v>
      </c>
      <c r="O1106">
        <v>69</v>
      </c>
      <c r="P1106">
        <v>7.61</v>
      </c>
      <c r="Q1106" t="s">
        <v>1110</v>
      </c>
    </row>
    <row r="1107" spans="1:17">
      <c r="A1107" s="2">
        <v>45886</v>
      </c>
      <c r="B1107">
        <v>8</v>
      </c>
      <c r="C1107">
        <v>6</v>
      </c>
      <c r="D1107" t="s">
        <v>1270</v>
      </c>
      <c r="E1107" t="s">
        <v>174</v>
      </c>
      <c r="F1107" t="s">
        <v>1090</v>
      </c>
      <c r="G1107">
        <v>1</v>
      </c>
      <c r="H1107">
        <v>5</v>
      </c>
      <c r="I1107">
        <v>9</v>
      </c>
      <c r="J1107" t="s">
        <v>1230</v>
      </c>
      <c r="L1107">
        <v>36</v>
      </c>
      <c r="M1107" t="s">
        <v>1215</v>
      </c>
      <c r="N1107" t="s">
        <v>1107</v>
      </c>
      <c r="O1107">
        <v>61</v>
      </c>
      <c r="P1107">
        <v>6.18</v>
      </c>
      <c r="Q1107" t="s">
        <v>1110</v>
      </c>
    </row>
    <row r="1108" spans="1:17">
      <c r="A1108" s="2">
        <v>45886</v>
      </c>
      <c r="B1108">
        <v>8</v>
      </c>
      <c r="C1108">
        <v>7</v>
      </c>
      <c r="D1108" t="s">
        <v>1114</v>
      </c>
      <c r="E1108" t="s">
        <v>175</v>
      </c>
      <c r="F1108" t="s">
        <v>1091</v>
      </c>
      <c r="G1108">
        <v>3</v>
      </c>
      <c r="H1108">
        <v>0</v>
      </c>
      <c r="I1108">
        <v>12</v>
      </c>
      <c r="J1108" t="s">
        <v>1230</v>
      </c>
      <c r="L1108">
        <v>36</v>
      </c>
      <c r="N1108" t="s">
        <v>1108</v>
      </c>
      <c r="O1108">
        <v>64</v>
      </c>
      <c r="P1108">
        <v>5.6</v>
      </c>
      <c r="Q1108" t="s">
        <v>1110</v>
      </c>
    </row>
    <row r="1109" spans="1:17">
      <c r="A1109" s="2">
        <v>45886</v>
      </c>
      <c r="B1109">
        <v>8</v>
      </c>
      <c r="C1109">
        <v>8</v>
      </c>
      <c r="D1109" t="s">
        <v>1271</v>
      </c>
      <c r="E1109" t="s">
        <v>176</v>
      </c>
      <c r="F1109" t="s">
        <v>1092</v>
      </c>
      <c r="G1109">
        <v>3</v>
      </c>
      <c r="H1109">
        <v>0</v>
      </c>
      <c r="I1109">
        <v>15</v>
      </c>
      <c r="J1109" t="s">
        <v>1230</v>
      </c>
      <c r="L1109">
        <v>36</v>
      </c>
      <c r="N1109" t="s">
        <v>1107</v>
      </c>
      <c r="O1109">
        <v>66.599999999999994</v>
      </c>
      <c r="P1109">
        <v>6.26</v>
      </c>
      <c r="Q1109" t="s">
        <v>1110</v>
      </c>
    </row>
    <row r="1110" spans="1:17">
      <c r="A1110" s="2">
        <v>45886</v>
      </c>
      <c r="B1110">
        <v>8</v>
      </c>
      <c r="C1110">
        <v>9</v>
      </c>
      <c r="D1110" t="s">
        <v>20</v>
      </c>
      <c r="E1110" t="s">
        <v>177</v>
      </c>
      <c r="F1110" t="s">
        <v>1093</v>
      </c>
      <c r="G1110">
        <v>1</v>
      </c>
      <c r="H1110">
        <v>0</v>
      </c>
      <c r="I1110">
        <v>16</v>
      </c>
      <c r="J1110" t="s">
        <v>1230</v>
      </c>
      <c r="L1110">
        <v>36</v>
      </c>
      <c r="N1110" t="s">
        <v>1107</v>
      </c>
      <c r="O1110">
        <v>77.900000000000006</v>
      </c>
      <c r="P1110">
        <v>5.97</v>
      </c>
      <c r="Q1110" t="s">
        <v>1110</v>
      </c>
    </row>
    <row r="1111" spans="1:17">
      <c r="A1111" s="2">
        <v>45886</v>
      </c>
      <c r="B1111">
        <v>8</v>
      </c>
      <c r="C1111">
        <v>10</v>
      </c>
      <c r="D1111" t="s">
        <v>1113</v>
      </c>
      <c r="E1111" t="s">
        <v>178</v>
      </c>
      <c r="F1111" t="s">
        <v>1094</v>
      </c>
      <c r="G1111">
        <v>4</v>
      </c>
      <c r="H1111">
        <v>5</v>
      </c>
      <c r="I1111">
        <v>15</v>
      </c>
      <c r="J1111" t="s">
        <v>1230</v>
      </c>
      <c r="L1111">
        <v>36</v>
      </c>
      <c r="M1111" t="s">
        <v>1214</v>
      </c>
      <c r="N1111" t="s">
        <v>1107</v>
      </c>
      <c r="O1111">
        <v>72.5</v>
      </c>
      <c r="P1111">
        <v>7.77</v>
      </c>
      <c r="Q1111" t="s">
        <v>1111</v>
      </c>
    </row>
    <row r="1112" spans="1:17">
      <c r="A1112" s="2">
        <v>45886</v>
      </c>
      <c r="B1112">
        <v>8</v>
      </c>
      <c r="C1112">
        <v>11</v>
      </c>
      <c r="D1112" t="s">
        <v>1272</v>
      </c>
      <c r="E1112" t="s">
        <v>179</v>
      </c>
      <c r="F1112" t="s">
        <v>1095</v>
      </c>
      <c r="G1112">
        <v>4</v>
      </c>
      <c r="H1112">
        <v>5</v>
      </c>
      <c r="I1112">
        <v>14</v>
      </c>
      <c r="J1112" t="s">
        <v>1230</v>
      </c>
      <c r="L1112">
        <v>36</v>
      </c>
      <c r="M1112" t="s">
        <v>1207</v>
      </c>
      <c r="N1112" t="s">
        <v>1107</v>
      </c>
      <c r="O1112">
        <v>62.7</v>
      </c>
      <c r="P1112">
        <v>5.32</v>
      </c>
      <c r="Q1112" t="s">
        <v>1110</v>
      </c>
    </row>
    <row r="1113" spans="1:17">
      <c r="A1113" s="2">
        <v>45886</v>
      </c>
      <c r="B1113">
        <v>8</v>
      </c>
      <c r="C1113">
        <v>12</v>
      </c>
      <c r="D1113" t="s">
        <v>21</v>
      </c>
      <c r="E1113" t="s">
        <v>180</v>
      </c>
      <c r="F1113" t="s">
        <v>1096</v>
      </c>
      <c r="G1113">
        <v>4</v>
      </c>
      <c r="H1113">
        <v>1</v>
      </c>
      <c r="I1113">
        <v>17</v>
      </c>
      <c r="J1113" t="s">
        <v>1230</v>
      </c>
      <c r="L1113">
        <v>36</v>
      </c>
      <c r="N1113" t="s">
        <v>1107</v>
      </c>
      <c r="O1113">
        <v>72.5</v>
      </c>
      <c r="P1113">
        <v>7.3</v>
      </c>
      <c r="Q1113" t="s">
        <v>1110</v>
      </c>
    </row>
    <row r="1114" spans="1:17">
      <c r="A1114" s="2">
        <v>45886</v>
      </c>
      <c r="B1114">
        <v>8</v>
      </c>
      <c r="C1114">
        <v>13</v>
      </c>
      <c r="D1114" t="s">
        <v>22</v>
      </c>
      <c r="E1114" t="s">
        <v>181</v>
      </c>
      <c r="F1114" t="s">
        <v>1097</v>
      </c>
      <c r="G1114">
        <v>1</v>
      </c>
      <c r="H1114">
        <v>1</v>
      </c>
      <c r="I1114">
        <v>17</v>
      </c>
      <c r="J1114" t="s">
        <v>1230</v>
      </c>
      <c r="L1114">
        <v>36</v>
      </c>
      <c r="M1114" t="s">
        <v>1225</v>
      </c>
      <c r="N1114" t="s">
        <v>1107</v>
      </c>
      <c r="O1114">
        <v>68.599999999999994</v>
      </c>
      <c r="P1114">
        <v>7.93</v>
      </c>
      <c r="Q1114" t="s">
        <v>1110</v>
      </c>
    </row>
    <row r="1115" spans="1:17">
      <c r="A1115" s="2">
        <v>45886</v>
      </c>
      <c r="B1115">
        <v>8</v>
      </c>
      <c r="C1115">
        <v>14</v>
      </c>
      <c r="D1115" t="s">
        <v>23</v>
      </c>
      <c r="E1115" t="s">
        <v>182</v>
      </c>
      <c r="F1115" t="s">
        <v>1098</v>
      </c>
      <c r="G1115">
        <v>2</v>
      </c>
      <c r="H1115">
        <v>4</v>
      </c>
      <c r="I1115">
        <v>15</v>
      </c>
      <c r="J1115" t="s">
        <v>1230</v>
      </c>
      <c r="L1115">
        <v>36</v>
      </c>
      <c r="M1115" t="s">
        <v>1213</v>
      </c>
      <c r="N1115" t="s">
        <v>1107</v>
      </c>
      <c r="O1115">
        <v>67.2</v>
      </c>
      <c r="P1115">
        <v>6.46</v>
      </c>
      <c r="Q1115" t="s">
        <v>1110</v>
      </c>
    </row>
    <row r="1116" spans="1:17">
      <c r="A1116" s="2">
        <v>45886</v>
      </c>
      <c r="B1116">
        <v>8</v>
      </c>
      <c r="C1116">
        <v>15</v>
      </c>
      <c r="D1116" t="s">
        <v>24</v>
      </c>
      <c r="E1116" t="s">
        <v>183</v>
      </c>
      <c r="F1116" t="s">
        <v>1099</v>
      </c>
      <c r="G1116">
        <v>4</v>
      </c>
      <c r="H1116">
        <v>4</v>
      </c>
      <c r="I1116">
        <v>15</v>
      </c>
      <c r="J1116" t="s">
        <v>1230</v>
      </c>
      <c r="L1116">
        <v>36</v>
      </c>
      <c r="M1116" t="s">
        <v>1205</v>
      </c>
      <c r="N1116" t="s">
        <v>1107</v>
      </c>
      <c r="O1116">
        <v>63.8</v>
      </c>
      <c r="P1116">
        <v>6.53</v>
      </c>
      <c r="Q1116" t="s">
        <v>1110</v>
      </c>
    </row>
    <row r="1117" spans="1:17">
      <c r="A1117" s="2">
        <v>45886</v>
      </c>
      <c r="B1117">
        <v>8</v>
      </c>
      <c r="C1117">
        <v>16</v>
      </c>
      <c r="D1117" t="s">
        <v>1273</v>
      </c>
      <c r="E1117" t="s">
        <v>184</v>
      </c>
      <c r="F1117" t="s">
        <v>1100</v>
      </c>
      <c r="G1117">
        <v>2</v>
      </c>
      <c r="H1117">
        <v>5</v>
      </c>
      <c r="I1117">
        <v>12</v>
      </c>
      <c r="J1117" t="s">
        <v>1230</v>
      </c>
      <c r="L1117">
        <v>36</v>
      </c>
      <c r="M1117" t="s">
        <v>1229</v>
      </c>
      <c r="N1117" t="s">
        <v>1107</v>
      </c>
      <c r="O1117">
        <v>81.599999999999994</v>
      </c>
      <c r="P1117">
        <v>7.98</v>
      </c>
      <c r="Q1117" t="s">
        <v>1110</v>
      </c>
    </row>
    <row r="1118" spans="1:17">
      <c r="A1118" s="2">
        <v>45886</v>
      </c>
      <c r="B1118">
        <v>8</v>
      </c>
      <c r="C1118">
        <v>17</v>
      </c>
      <c r="D1118" t="s">
        <v>25</v>
      </c>
      <c r="E1118" t="s">
        <v>185</v>
      </c>
      <c r="F1118" t="s">
        <v>1101</v>
      </c>
      <c r="G1118">
        <v>4</v>
      </c>
      <c r="H1118">
        <v>2</v>
      </c>
      <c r="I1118">
        <v>14</v>
      </c>
      <c r="J1118" t="s">
        <v>1230</v>
      </c>
      <c r="K1118" t="s">
        <v>1104</v>
      </c>
      <c r="L1118">
        <v>36</v>
      </c>
      <c r="M1118">
        <v>5</v>
      </c>
      <c r="N1118" t="s">
        <v>1107</v>
      </c>
      <c r="O1118">
        <v>65</v>
      </c>
      <c r="P1118">
        <v>7.12</v>
      </c>
      <c r="Q1118" t="s">
        <v>1111</v>
      </c>
    </row>
    <row r="1119" spans="1:17">
      <c r="A1119" s="2">
        <v>45886</v>
      </c>
      <c r="B1119">
        <v>8</v>
      </c>
      <c r="C1119">
        <v>18</v>
      </c>
      <c r="D1119" t="s">
        <v>26</v>
      </c>
      <c r="E1119" t="s">
        <v>186</v>
      </c>
      <c r="F1119" t="s">
        <v>994</v>
      </c>
      <c r="G1119">
        <v>0</v>
      </c>
      <c r="H1119">
        <v>5</v>
      </c>
      <c r="I1119">
        <v>9</v>
      </c>
      <c r="J1119" t="s">
        <v>1230</v>
      </c>
      <c r="K1119" t="s">
        <v>1104</v>
      </c>
      <c r="L1119">
        <v>36</v>
      </c>
      <c r="M1119" t="s">
        <v>1220</v>
      </c>
      <c r="N1119" t="s">
        <v>1107</v>
      </c>
      <c r="O1119">
        <v>72.599999999999994</v>
      </c>
      <c r="P1119">
        <v>5.54</v>
      </c>
      <c r="Q1119" t="s">
        <v>1112</v>
      </c>
    </row>
    <row r="1120" spans="1:17">
      <c r="A1120" s="2">
        <v>45886</v>
      </c>
      <c r="B1120">
        <v>8</v>
      </c>
      <c r="C1120">
        <v>19</v>
      </c>
      <c r="D1120" t="s">
        <v>27</v>
      </c>
      <c r="E1120" t="s">
        <v>187</v>
      </c>
      <c r="F1120" t="s">
        <v>1102</v>
      </c>
      <c r="G1120">
        <v>0</v>
      </c>
      <c r="H1120">
        <v>3</v>
      </c>
      <c r="I1120">
        <v>6</v>
      </c>
      <c r="J1120" t="s">
        <v>1230</v>
      </c>
      <c r="K1120" t="s">
        <v>1104</v>
      </c>
      <c r="L1120">
        <v>36</v>
      </c>
      <c r="M1120">
        <v>5</v>
      </c>
      <c r="N1120" t="s">
        <v>1107</v>
      </c>
      <c r="O1120">
        <v>75.900000000000006</v>
      </c>
      <c r="P1120">
        <v>5.69</v>
      </c>
      <c r="Q1120" t="s">
        <v>1110</v>
      </c>
    </row>
    <row r="1121" spans="1:17">
      <c r="A1121" s="2">
        <v>45886</v>
      </c>
      <c r="B1121">
        <v>8</v>
      </c>
      <c r="C1121">
        <v>20</v>
      </c>
      <c r="D1121" t="s">
        <v>28</v>
      </c>
      <c r="E1121" t="s">
        <v>188</v>
      </c>
      <c r="F1121" t="s">
        <v>1103</v>
      </c>
      <c r="G1121">
        <v>1</v>
      </c>
      <c r="H1121">
        <v>5</v>
      </c>
      <c r="I1121">
        <v>2</v>
      </c>
      <c r="J1121" t="s">
        <v>1230</v>
      </c>
      <c r="K1121" t="s">
        <v>1104</v>
      </c>
      <c r="L1121">
        <v>36</v>
      </c>
      <c r="M1121" t="s">
        <v>1222</v>
      </c>
      <c r="N1121" t="s">
        <v>1107</v>
      </c>
      <c r="O1121">
        <v>84.8</v>
      </c>
      <c r="P1121">
        <v>7.79</v>
      </c>
      <c r="Q1121" t="s">
        <v>1110</v>
      </c>
    </row>
  </sheetData>
  <autoFilter ref="A1:Q1121"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C0E33-19AA-4D2B-B4AF-0B2CA20E32AC}">
  <dimension ref="A1:C11"/>
  <sheetViews>
    <sheetView workbookViewId="0"/>
  </sheetViews>
  <sheetFormatPr defaultRowHeight="14.25"/>
  <cols>
    <col min="1" max="1" width="9.59765625" bestFit="1" customWidth="1"/>
    <col min="2" max="2" width="37.73046875" bestFit="1" customWidth="1"/>
    <col min="3" max="3" width="57.1328125" bestFit="1" customWidth="1"/>
  </cols>
  <sheetData>
    <row r="1" spans="1:3" ht="17.45" customHeight="1" thickBot="1">
      <c r="A1" s="18" t="s">
        <v>1183</v>
      </c>
      <c r="B1" s="18" t="s">
        <v>1178</v>
      </c>
      <c r="C1" s="18" t="s">
        <v>1190</v>
      </c>
    </row>
    <row r="2" spans="1:3" ht="16.149999999999999" thickBot="1">
      <c r="A2" s="12">
        <v>1</v>
      </c>
      <c r="B2" s="20" t="s">
        <v>1184</v>
      </c>
      <c r="C2" s="19" t="s">
        <v>1177</v>
      </c>
    </row>
    <row r="3" spans="1:3" ht="16.149999999999999" thickBot="1">
      <c r="A3" s="12">
        <v>2</v>
      </c>
      <c r="B3" s="20" t="s">
        <v>1185</v>
      </c>
      <c r="C3" s="19" t="s">
        <v>1177</v>
      </c>
    </row>
    <row r="4" spans="1:3" ht="16.149999999999999" thickBot="1">
      <c r="A4" s="12">
        <v>3</v>
      </c>
      <c r="B4" s="20" t="s">
        <v>1186</v>
      </c>
      <c r="C4" s="19" t="s">
        <v>1177</v>
      </c>
    </row>
    <row r="5" spans="1:3" ht="16.149999999999999" thickBot="1">
      <c r="A5" s="12">
        <v>4</v>
      </c>
      <c r="B5" s="20" t="s">
        <v>1187</v>
      </c>
      <c r="C5" s="19" t="s">
        <v>1177</v>
      </c>
    </row>
    <row r="6" spans="1:3" ht="16.149999999999999" thickBot="1">
      <c r="A6" s="12">
        <v>5</v>
      </c>
      <c r="B6" s="20" t="s">
        <v>1188</v>
      </c>
      <c r="C6" s="19" t="s">
        <v>1177</v>
      </c>
    </row>
    <row r="7" spans="1:3" ht="16.149999999999999" thickBot="1">
      <c r="A7" s="12">
        <v>6</v>
      </c>
      <c r="B7" s="20" t="s">
        <v>1189</v>
      </c>
      <c r="C7" s="19" t="s">
        <v>1177</v>
      </c>
    </row>
    <row r="9" spans="1:3" ht="15.75">
      <c r="B9" s="13"/>
    </row>
    <row r="11" spans="1:3" ht="15.75" customHeight="1">
      <c r="A11" s="30"/>
      <c r="B11" s="14"/>
      <c r="C11" s="14"/>
    </row>
  </sheetData>
  <conditionalFormatting sqref="C2:C7">
    <cfRule type="cellIs" dxfId="1" priority="1" operator="equal">
      <formula>"Ja"</formula>
    </cfRule>
    <cfRule type="cellIs" dxfId="0" priority="2" operator="equal">
      <formula>"Nee"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B1A3C-0D1D-4F7D-8287-5A35B2484064}">
  <dimension ref="A1:C15"/>
  <sheetViews>
    <sheetView workbookViewId="0">
      <selection activeCell="B7" sqref="B7"/>
    </sheetView>
  </sheetViews>
  <sheetFormatPr defaultRowHeight="14.25"/>
  <cols>
    <col min="1" max="1" width="21.59765625" customWidth="1"/>
    <col min="2" max="2" width="71.86328125" customWidth="1"/>
    <col min="3" max="3" width="64.1328125" customWidth="1"/>
  </cols>
  <sheetData>
    <row r="1" spans="1:3" ht="18">
      <c r="A1" s="15" t="str" cm="1">
        <f t="array" ref="A1">IFERROR(INDEX("Geselecteerde KPI: "&amp;'KPI selectie'!B2:B7,MATCH("Ja",'KPI selectie'!C2:C7,0)),"Je hebt nog geen KPI geselecteerd in het tabblad KPI selectie!")</f>
        <v>Je hebt nog geen KPI geselecteerd in het tabblad KPI selectie!</v>
      </c>
      <c r="B1" s="6"/>
    </row>
    <row r="3" spans="1:3" ht="15.75">
      <c r="A3" s="13" t="s">
        <v>1179</v>
      </c>
    </row>
    <row r="4" spans="1:3" ht="15.75">
      <c r="A4" s="13"/>
    </row>
    <row r="5" spans="1:3" ht="15.75">
      <c r="A5" s="17" t="s">
        <v>1180</v>
      </c>
      <c r="B5" s="17" t="s">
        <v>1181</v>
      </c>
      <c r="C5" s="17" t="s">
        <v>1261</v>
      </c>
    </row>
    <row r="6" spans="1:3" ht="47.25">
      <c r="A6" s="24" t="s">
        <v>14</v>
      </c>
      <c r="B6" s="24" t="s">
        <v>1182</v>
      </c>
      <c r="C6" s="24" t="s">
        <v>1262</v>
      </c>
    </row>
    <row r="7" spans="1:3">
      <c r="A7" s="16"/>
      <c r="B7" s="16" t="s">
        <v>1274</v>
      </c>
      <c r="C7" s="16"/>
    </row>
    <row r="8" spans="1:3">
      <c r="A8" s="16"/>
      <c r="B8" s="16"/>
      <c r="C8" s="16"/>
    </row>
    <row r="9" spans="1:3">
      <c r="A9" s="16"/>
      <c r="B9" s="16"/>
      <c r="C9" s="16"/>
    </row>
    <row r="10" spans="1:3">
      <c r="A10" s="16"/>
      <c r="B10" s="16"/>
      <c r="C10" s="16"/>
    </row>
    <row r="11" spans="1:3">
      <c r="A11" s="16"/>
      <c r="B11" s="16"/>
      <c r="C11" s="16"/>
    </row>
    <row r="12" spans="1:3">
      <c r="A12" s="16"/>
      <c r="B12" s="16"/>
      <c r="C12" s="16"/>
    </row>
    <row r="13" spans="1:3">
      <c r="A13" s="16"/>
      <c r="B13" s="16"/>
      <c r="C13" s="16"/>
    </row>
    <row r="14" spans="1:3">
      <c r="A14" s="16"/>
      <c r="B14" s="16"/>
      <c r="C14" s="16"/>
    </row>
    <row r="15" spans="1:3">
      <c r="A15" s="16"/>
      <c r="B15" s="16"/>
      <c r="C15" s="16"/>
    </row>
  </sheetData>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07C65-6D3D-40F7-9FED-3A5D3292EF19}">
  <dimension ref="A1:E11"/>
  <sheetViews>
    <sheetView workbookViewId="0">
      <selection activeCell="D6" sqref="D6"/>
    </sheetView>
  </sheetViews>
  <sheetFormatPr defaultRowHeight="14.25"/>
  <cols>
    <col min="1" max="1" width="21.59765625" customWidth="1"/>
    <col min="2" max="2" width="16.3984375" customWidth="1"/>
    <col min="3" max="3" width="57.59765625" bestFit="1" customWidth="1"/>
    <col min="4" max="4" width="22.1328125" bestFit="1" customWidth="1"/>
  </cols>
  <sheetData>
    <row r="1" spans="1:5" ht="18">
      <c r="A1" s="15" t="str" cm="1">
        <f t="array" ref="A1">IFERROR(INDEX("Geselecteerde KPI: "&amp;'KPI selectie'!B2:B7,MATCH("Ja",'KPI selectie'!C2:C7,0)),"Je hebt nog geen KPI geselecteerd in het tabblad KPI selectie!")</f>
        <v>Je hebt nog geen KPI geselecteerd in het tabblad KPI selectie!</v>
      </c>
    </row>
    <row r="2" spans="1:5" ht="18">
      <c r="A2" s="15"/>
    </row>
    <row r="3" spans="1:5" ht="15.75">
      <c r="A3" s="13" t="s">
        <v>1200</v>
      </c>
    </row>
    <row r="5" spans="1:5" ht="15.75">
      <c r="A5" s="17" t="s">
        <v>1193</v>
      </c>
      <c r="B5" s="17" t="s">
        <v>1191</v>
      </c>
      <c r="C5" s="17" t="s">
        <v>1155</v>
      </c>
      <c r="D5" s="27" t="s">
        <v>1264</v>
      </c>
    </row>
    <row r="6" spans="1:5" ht="15.75">
      <c r="A6" s="22" t="s">
        <v>1192</v>
      </c>
      <c r="B6" s="22" t="s">
        <v>1198</v>
      </c>
      <c r="C6" s="22" t="s">
        <v>1263</v>
      </c>
      <c r="D6" s="22" t="s">
        <v>1265</v>
      </c>
      <c r="E6" s="21" t="s">
        <v>1199</v>
      </c>
    </row>
    <row r="7" spans="1:5" ht="15.75">
      <c r="A7" s="23" t="s">
        <v>1192</v>
      </c>
      <c r="B7" s="23"/>
      <c r="C7" s="23"/>
      <c r="D7" s="23"/>
    </row>
    <row r="8" spans="1:5" ht="15.75">
      <c r="A8" s="23" t="s">
        <v>1194</v>
      </c>
      <c r="B8" s="23"/>
      <c r="C8" s="23"/>
      <c r="D8" s="23"/>
    </row>
    <row r="9" spans="1:5" ht="15.75">
      <c r="A9" s="23" t="s">
        <v>1195</v>
      </c>
      <c r="B9" s="23"/>
      <c r="C9" s="23"/>
      <c r="D9" s="23"/>
    </row>
    <row r="10" spans="1:5" ht="15.75">
      <c r="A10" s="23" t="s">
        <v>1196</v>
      </c>
      <c r="B10" s="23"/>
      <c r="C10" s="23"/>
      <c r="D10" s="23"/>
    </row>
    <row r="11" spans="1:5" ht="15.75">
      <c r="A11" s="23" t="s">
        <v>1197</v>
      </c>
      <c r="B11" s="23"/>
      <c r="C11" s="23"/>
      <c r="D11"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04CB3-AB6C-47F3-BE52-703DBBB0A117}">
  <dimension ref="A1:C8"/>
  <sheetViews>
    <sheetView workbookViewId="0"/>
  </sheetViews>
  <sheetFormatPr defaultRowHeight="14.25"/>
  <cols>
    <col min="1" max="1" width="100.265625" customWidth="1"/>
  </cols>
  <sheetData>
    <row r="1" spans="1:3" ht="18">
      <c r="A1" s="15" t="str" cm="1">
        <f t="array" ref="A1">IFERROR(INDEX("Advies voor jouw geselecteerde KPI: "&amp;'KPI selectie'!B2:B7,MATCH("Ja",'KPI selectie'!C2:C7,0)),"Je hebt nog geen KPI geselecteerd in het tabblad KPI selectie!")</f>
        <v>Je hebt nog geen KPI geselecteerd in het tabblad KPI selectie!</v>
      </c>
    </row>
    <row r="3" spans="1:3">
      <c r="A3" t="s">
        <v>1266</v>
      </c>
    </row>
    <row r="5" spans="1:3" ht="198" customHeight="1">
      <c r="A5" s="25" t="s">
        <v>1201</v>
      </c>
    </row>
    <row r="7" spans="1:3" ht="87.75" customHeight="1">
      <c r="A7" s="29" t="s">
        <v>1267</v>
      </c>
      <c r="B7" s="30"/>
      <c r="C7" s="30"/>
    </row>
    <row r="8" spans="1:3">
      <c r="A8" s="21" t="s">
        <v>1268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Flow_SignoffStatus xmlns="e7647ff1-e2f7-42a1-a68c-3c96587cf758" xsi:nil="true"/>
    <_ip_UnifiedCompliancePolicyProperties xmlns="http://schemas.microsoft.com/sharepoint/v3" xsi:nil="true"/>
    <lcf76f155ced4ddcb4097134ff3c332f xmlns="e7647ff1-e2f7-42a1-a68c-3c96587cf75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1DCE2413392E94399C66D8B3C6C85EE" ma:contentTypeVersion="22" ma:contentTypeDescription="Een nieuw document maken." ma:contentTypeScope="" ma:versionID="140c34f89499b6d54cc6b190361ded78">
  <xsd:schema xmlns:xsd="http://www.w3.org/2001/XMLSchema" xmlns:xs="http://www.w3.org/2001/XMLSchema" xmlns:p="http://schemas.microsoft.com/office/2006/metadata/properties" xmlns:ns1="http://schemas.microsoft.com/sharepoint/v3" xmlns:ns2="e7647ff1-e2f7-42a1-a68c-3c96587cf758" xmlns:ns3="7178be8b-d0ef-4995-97d9-396f4bad9a56" targetNamespace="http://schemas.microsoft.com/office/2006/metadata/properties" ma:root="true" ma:fieldsID="a368ba0ea1756c322acb58be99b19eb5" ns1:_="" ns2:_="" ns3:_="">
    <xsd:import namespace="http://schemas.microsoft.com/sharepoint/v3"/>
    <xsd:import namespace="e7647ff1-e2f7-42a1-a68c-3c96587cf758"/>
    <xsd:import namespace="7178be8b-d0ef-4995-97d9-396f4bad9a5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Location" minOccurs="0"/>
                <xsd:element ref="ns2:_Flow_SignoffStatus"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Eigenschappen van het geïntegreerd beleid voor naleving" ma:hidden="true" ma:internalName="_ip_UnifiedCompliancePolicyProperties">
      <xsd:simpleType>
        <xsd:restriction base="dms:Note"/>
      </xsd:simpleType>
    </xsd:element>
    <xsd:element name="_ip_UnifiedCompliancePolicyUIAction" ma:index="20"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647ff1-e2f7-42a1-a68c-3c96587cf7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_Flow_SignoffStatus" ma:index="16" nillable="true" ma:displayName="Afmeldingsstatus" ma:internalName="_x0024_Resources_x003a_core_x002c_Signoff_Status_x003b_">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Afbeeldingtags" ma:readOnly="false" ma:fieldId="{5cf76f15-5ced-4ddc-b409-7134ff3c332f}" ma:taxonomyMulti="true" ma:sspId="1c6a0e08-1576-455b-af28-552984f92fc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78be8b-d0ef-4995-97d9-396f4bad9a56"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A3F263-F9CD-4927-9804-641C4E8513D0}">
  <ds:schemaRefs>
    <ds:schemaRef ds:uri="http://schemas.microsoft.com/office/2006/metadata/properties"/>
    <ds:schemaRef ds:uri="http://schemas.microsoft.com/office/infopath/2007/PartnerControls"/>
    <ds:schemaRef ds:uri="http://schemas.microsoft.com/sharepoint/v3"/>
    <ds:schemaRef ds:uri="e7647ff1-e2f7-42a1-a68c-3c96587cf758"/>
  </ds:schemaRefs>
</ds:datastoreItem>
</file>

<file path=customXml/itemProps2.xml><?xml version="1.0" encoding="utf-8"?>
<ds:datastoreItem xmlns:ds="http://schemas.openxmlformats.org/officeDocument/2006/customXml" ds:itemID="{993B5B22-349E-41F0-BFA1-30A96AF11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7647ff1-e2f7-42a1-a68c-3c96587cf758"/>
    <ds:schemaRef ds:uri="7178be8b-d0ef-4995-97d9-396f4bad9a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EB60F5-5C0A-4A23-B3A9-D6B60ED7EA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Voorbeeld statistiek in Excel</vt:lpstr>
      <vt:lpstr>Kolombeschrijving</vt:lpstr>
      <vt:lpstr>Logboek</vt:lpstr>
      <vt:lpstr>KPI selectie</vt:lpstr>
      <vt:lpstr>Kolommen selecteren voor KPI</vt:lpstr>
      <vt:lpstr>Berekening prestatie </vt:lpstr>
      <vt:lpstr>Evaluatie en verklaring 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Yoessef Laoikili</dc:creator>
  <cp:lastModifiedBy>Yoessef Laoikili</cp:lastModifiedBy>
  <cp:lastPrinted>2025-12-09T23:44:36Z</cp:lastPrinted>
  <dcterms:created xsi:type="dcterms:W3CDTF">2025-06-02T11:38:15Z</dcterms:created>
  <dcterms:modified xsi:type="dcterms:W3CDTF">2025-12-09T23:45:21Z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0x01010031DCE2413392E94399C66D8B3C6C85EE</vt:lpwstr>
  </property>
  <property fmtid="{D5CDD505-2E9C-101B-9397-08002B2CF9AE}" pid="3" name="MediaServiceImageTags">
    <vt:lpwstr/>
  </property>
</Properties>
</file>